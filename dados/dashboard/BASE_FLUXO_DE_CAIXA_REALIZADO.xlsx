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m vindo\Desktop\Fluxo de Caixa  - Realizado\"/>
    </mc:Choice>
  </mc:AlternateContent>
  <xr:revisionPtr revIDLastSave="0" documentId="13_ncr:1_{163155C3-6ECC-4EE0-B61B-3A46222F16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ntas a Receber (Realizado)" sheetId="1" r:id="rId1"/>
    <sheet name="Contas a Pagar (Realizado)" sheetId="2" r:id="rId2"/>
    <sheet name="INVESTIMENTO" sheetId="5" r:id="rId3"/>
    <sheet name="Plano de Naturezas" sheetId="3" r:id="rId4"/>
    <sheet name="Planilha1" sheetId="4" r:id="rId5"/>
    <sheet name="CONTA_BANCARIA" sheetId="6" r:id="rId6"/>
  </sheets>
  <definedNames>
    <definedName name="_xlnm._FilterDatabase" localSheetId="1" hidden="1">'Contas a Pagar (Realizado)'!$B$1:$Y$129</definedName>
    <definedName name="_xlnm._FilterDatabase" localSheetId="0" hidden="1">'Contas a Receber (Realizado)'!$B$1:$Y$43</definedName>
    <definedName name="_xlnm._FilterDatabase" localSheetId="4" hidden="1">Planilha1!$A$1:$A$19</definedName>
    <definedName name="_xlnm._FilterDatabase" localSheetId="3" hidden="1">'Plano de Naturezas'!$A$1:$G$46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5" l="1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</calcChain>
</file>

<file path=xl/sharedStrings.xml><?xml version="1.0" encoding="utf-8"?>
<sst xmlns="http://schemas.openxmlformats.org/spreadsheetml/2006/main" count="2747" uniqueCount="499">
  <si>
    <t>Prf</t>
  </si>
  <si>
    <t>Numero</t>
  </si>
  <si>
    <t>Prc</t>
  </si>
  <si>
    <t>TP</t>
  </si>
  <si>
    <t>Cli/For</t>
  </si>
  <si>
    <t>NOME CLI/FOR</t>
  </si>
  <si>
    <t>Natureza</t>
  </si>
  <si>
    <t>Vencto</t>
  </si>
  <si>
    <t>Historico</t>
  </si>
  <si>
    <t>Dt Baixa</t>
  </si>
  <si>
    <t>Valor Original</t>
  </si>
  <si>
    <t>Jur/Multa</t>
  </si>
  <si>
    <t>CORRECAO</t>
  </si>
  <si>
    <t>Descontos</t>
  </si>
  <si>
    <t>Abatim.</t>
  </si>
  <si>
    <t>IMPOSTOS</t>
  </si>
  <si>
    <t>Total Baixado</t>
  </si>
  <si>
    <t>Bco</t>
  </si>
  <si>
    <t>Dt Dig.</t>
  </si>
  <si>
    <t>Mot</t>
  </si>
  <si>
    <t>Orig</t>
  </si>
  <si>
    <t>C. de Custo</t>
  </si>
  <si>
    <t>Agencia</t>
  </si>
  <si>
    <t>Conta Banco</t>
  </si>
  <si>
    <t>9.0102</t>
  </si>
  <si>
    <t>ATIVACAO CONTA-PIX BEOP</t>
  </si>
  <si>
    <t>033</t>
  </si>
  <si>
    <t>NOR</t>
  </si>
  <si>
    <t>01</t>
  </si>
  <si>
    <t>3324</t>
  </si>
  <si>
    <t>13010565</t>
  </si>
  <si>
    <t>APLICACAO CONTAMAX</t>
  </si>
  <si>
    <t>013010565</t>
  </si>
  <si>
    <t>APLIC CONTAMAX</t>
  </si>
  <si>
    <t>ADT</t>
  </si>
  <si>
    <t>000000132</t>
  </si>
  <si>
    <t>RA</t>
  </si>
  <si>
    <t>000115</t>
  </si>
  <si>
    <t>TECON SALVADOR S/A</t>
  </si>
  <si>
    <t>1.0201</t>
  </si>
  <si>
    <t>ADIANTAMENTO</t>
  </si>
  <si>
    <t>9.0101</t>
  </si>
  <si>
    <t>APLICACAO CDB</t>
  </si>
  <si>
    <t>130105650</t>
  </si>
  <si>
    <t>APLICACAO COMPROMISSADAS</t>
  </si>
  <si>
    <t>1301056500</t>
  </si>
  <si>
    <t>1.0301</t>
  </si>
  <si>
    <t>RENDIMENTO RECEBIDO</t>
  </si>
  <si>
    <t>APLICACAO COMPROMISSADA</t>
  </si>
  <si>
    <t>TB - APLICACAO CONTAMAX</t>
  </si>
  <si>
    <t>2.1001</t>
  </si>
  <si>
    <t>ESTORNO DE TARIFA</t>
  </si>
  <si>
    <t>12100001</t>
  </si>
  <si>
    <t>TRANSF MESMA TITULARIDADE BCO SANTANDER</t>
  </si>
  <si>
    <t>13010587</t>
  </si>
  <si>
    <t>000000820</t>
  </si>
  <si>
    <t>PA</t>
  </si>
  <si>
    <t>015275</t>
  </si>
  <si>
    <t>CTC INFRA E CONSTRUCOES LTDA</t>
  </si>
  <si>
    <t>2.9008</t>
  </si>
  <si>
    <t>ADT DISTRIBUICAO ANTECIPADA  LUCROS_CTC</t>
  </si>
  <si>
    <t>000000821</t>
  </si>
  <si>
    <t>015276</t>
  </si>
  <si>
    <t>CARIOCA CHRISTIANI NIELSEN ENGENHARIA S A</t>
  </si>
  <si>
    <t>CARIOCA_DITRIBUICAO ANTECIPADA  LUCROS</t>
  </si>
  <si>
    <t>000000822</t>
  </si>
  <si>
    <t>000704</t>
  </si>
  <si>
    <t>BELOV OBRAS PORTUARIAS LTDA</t>
  </si>
  <si>
    <t>BEOP_DITRIBUICAO ANTECIPADA  LUCROS</t>
  </si>
  <si>
    <t>260803/RESGATE CONTAMAX</t>
  </si>
  <si>
    <t>DESPESA BANCARIA</t>
  </si>
  <si>
    <t>260810/RESGATE COMPROMISSADAS</t>
  </si>
  <si>
    <t>000</t>
  </si>
  <si>
    <t>000001447</t>
  </si>
  <si>
    <t>NF</t>
  </si>
  <si>
    <t>003004</t>
  </si>
  <si>
    <t>VALTER LUIS DE ANDRADE SANTOS - ME</t>
  </si>
  <si>
    <t>2.0123</t>
  </si>
  <si>
    <t>VALOR PAGO S/ TITULO</t>
  </si>
  <si>
    <t>DEB</t>
  </si>
  <si>
    <t>030205745</t>
  </si>
  <si>
    <t>A</t>
  </si>
  <si>
    <t>007432</t>
  </si>
  <si>
    <t>JUNTO SEGUROS S.A.</t>
  </si>
  <si>
    <t>2.0605</t>
  </si>
  <si>
    <t>PGT_SEG_GARAN_ADIANT_PGTO_TECO</t>
  </si>
  <si>
    <t>260811/RESGATE CONTAMAX</t>
  </si>
  <si>
    <t>000016334</t>
  </si>
  <si>
    <t>002383</t>
  </si>
  <si>
    <t>SH BRASIL SERVICOS MEDICOS LTDA</t>
  </si>
  <si>
    <t>2.0210</t>
  </si>
  <si>
    <t>EXMAES_OCPUPACIONAIS</t>
  </si>
  <si>
    <t>000000635</t>
  </si>
  <si>
    <t>015221</t>
  </si>
  <si>
    <t>ALEMAO ARTS 23 LTDA</t>
  </si>
  <si>
    <t>2.0905</t>
  </si>
  <si>
    <t>PLACAS_CISD</t>
  </si>
  <si>
    <t>260817/RESGATE COMPROMISSADAS</t>
  </si>
  <si>
    <t>260819/RESGATE CONTAMAX</t>
  </si>
  <si>
    <t>000000819</t>
  </si>
  <si>
    <t>009075</t>
  </si>
  <si>
    <t>ADILIO SILVA SANTOS</t>
  </si>
  <si>
    <t>2.1008</t>
  </si>
  <si>
    <t>ADT ADILIO MOBILIZACAO</t>
  </si>
  <si>
    <t>000000045</t>
  </si>
  <si>
    <t>1</t>
  </si>
  <si>
    <t>015215</t>
  </si>
  <si>
    <t>GEOSEA INVESTIGACOES GEOTECNICAS LTDA</t>
  </si>
  <si>
    <t>2.0617</t>
  </si>
  <si>
    <t>MOB_DESB_EQUIPA_PESSOAL</t>
  </si>
  <si>
    <t>260819/RESGATE COMPROMISSADAS</t>
  </si>
  <si>
    <t>260820/RESGATE CONTAMAX</t>
  </si>
  <si>
    <t>260824/RESGATE CONTAMAX</t>
  </si>
  <si>
    <t>002474071</t>
  </si>
  <si>
    <t>000106</t>
  </si>
  <si>
    <t>METROPASSE-ASSOCIACAO BAHIA DE TRANSPORTES METROPOLITANOS</t>
  </si>
  <si>
    <t>2.0207</t>
  </si>
  <si>
    <t>METROPASSE CONSORCIO 202609</t>
  </si>
  <si>
    <t>2</t>
  </si>
  <si>
    <t>008317528</t>
  </si>
  <si>
    <t>000105</t>
  </si>
  <si>
    <t>CONSORCIO SALVADOR TRANSCARD DE BILHETAGEM AUTOMATICA</t>
  </si>
  <si>
    <t>VT SSACARD CSD 202609</t>
  </si>
  <si>
    <t>000000824</t>
  </si>
  <si>
    <t>015260</t>
  </si>
  <si>
    <t>RAIMUNDO DE OLIVEIRA CARDOSO</t>
  </si>
  <si>
    <t>2.1015</t>
  </si>
  <si>
    <t>ADT CAUCAO IMOVEL ENGENHARIA</t>
  </si>
  <si>
    <t>260824/RESGATE COMPROMISSADAS</t>
  </si>
  <si>
    <t>260825/RESGATE CONTAMAX</t>
  </si>
  <si>
    <t>TARIFA MENSAL MANUN CONTA-DESPESAS BANCA</t>
  </si>
  <si>
    <t>260826/RESGATE COMPROMISSADAS</t>
  </si>
  <si>
    <t>260827/RESGATE CONTAMAX</t>
  </si>
  <si>
    <t>000286669</t>
  </si>
  <si>
    <t>103116</t>
  </si>
  <si>
    <t>RAIMUNDO SANTANA ROCHA JUNIOR</t>
  </si>
  <si>
    <t>2.0907</t>
  </si>
  <si>
    <t>REEMB_RAIMUNDO_BAGAGEM_FERNAND</t>
  </si>
  <si>
    <t>006506464</t>
  </si>
  <si>
    <t>SEGURO_GARANT_EXE_CONSTR</t>
  </si>
  <si>
    <t>006506501</t>
  </si>
  <si>
    <t>SEGURO_GARANTIA_RET_PAGTO</t>
  </si>
  <si>
    <t>020260805</t>
  </si>
  <si>
    <t>014313</t>
  </si>
  <si>
    <t>THIAGO ABI RAMIA BARBOZA MARINI</t>
  </si>
  <si>
    <t>REMMBOLS_THIAGO_MARINI</t>
  </si>
  <si>
    <t>020260821</t>
  </si>
  <si>
    <t>015268</t>
  </si>
  <si>
    <t>MAYKON FERREIRA DA SILVA</t>
  </si>
  <si>
    <t>REEMB_MAYKON_FERREIRA_SILVA</t>
  </si>
  <si>
    <t>062750122</t>
  </si>
  <si>
    <t>000170</t>
  </si>
  <si>
    <t>CREA - CONSELHO ENG ARQ E AGRO</t>
  </si>
  <si>
    <t>2.0920</t>
  </si>
  <si>
    <t>02OBR00326 REGISTRO DO CREA</t>
  </si>
  <si>
    <t>000000825</t>
  </si>
  <si>
    <t>015291</t>
  </si>
  <si>
    <t>MARCOS VINICIUS NASCIMENTO CONCEIÇÃO</t>
  </si>
  <si>
    <t>260827/RESGATE COMPROMISSADAS</t>
  </si>
  <si>
    <t>260828/RESGATE AUTOMATICO</t>
  </si>
  <si>
    <t>260828/RESGATE CONTAMAX</t>
  </si>
  <si>
    <t>DESPESAS BANCARIAS</t>
  </si>
  <si>
    <t>260831/RESGATE AUTOMATICO</t>
  </si>
  <si>
    <t>000000826</t>
  </si>
  <si>
    <t>015262</t>
  </si>
  <si>
    <t>JOSETE SAMPAIO DE OLIVEIRA</t>
  </si>
  <si>
    <t>ADT CAUCAO IMOVEL ENG</t>
  </si>
  <si>
    <t>000000827</t>
  </si>
  <si>
    <t>014317</t>
  </si>
  <si>
    <t>MAURO SERGIO LEITE BRENNEISEN</t>
  </si>
  <si>
    <t>ADIANT CAUCAO IMOVEL ENCAREGADOS</t>
  </si>
  <si>
    <t>000000078</t>
  </si>
  <si>
    <t>102076</t>
  </si>
  <si>
    <t>EXPRESS EMPREENDIMENTOS HOTELEIROS LTDA</t>
  </si>
  <si>
    <t>2.0135</t>
  </si>
  <si>
    <t>AGUA MINERAL</t>
  </si>
  <si>
    <t>000000079</t>
  </si>
  <si>
    <t>AGUA_MENERAL</t>
  </si>
  <si>
    <t>000000080</t>
  </si>
  <si>
    <t>AGUA_MINERAL</t>
  </si>
  <si>
    <t>000000081</t>
  </si>
  <si>
    <t>000000082</t>
  </si>
  <si>
    <t>000000083</t>
  </si>
  <si>
    <t>000091809</t>
  </si>
  <si>
    <t>2.1304</t>
  </si>
  <si>
    <t>HOSPEDAGEM_WAHINGTON_SILVA</t>
  </si>
  <si>
    <t>000091832</t>
  </si>
  <si>
    <t>HOSPEDAGEM_THIAGO_MARINI</t>
  </si>
  <si>
    <t>000091833</t>
  </si>
  <si>
    <t>HOSPEDAGEM_RAFAEL_HENRIQUE</t>
  </si>
  <si>
    <t>000091835</t>
  </si>
  <si>
    <t>HOSPEDAGEM_VITOR_MATOS</t>
  </si>
  <si>
    <t>000091836</t>
  </si>
  <si>
    <t>HOSPEDAGEM_ANDERSON_PAIVA</t>
  </si>
  <si>
    <t>000091838</t>
  </si>
  <si>
    <t>HOSPEDAGEM_MAYKON_FERREIRA</t>
  </si>
  <si>
    <t>000091839</t>
  </si>
  <si>
    <t>HOSPEDAGEM_RENATO_SILVA</t>
  </si>
  <si>
    <t>000091840</t>
  </si>
  <si>
    <t>HOSPEDAGEM_HEITOR_MATOS</t>
  </si>
  <si>
    <t>000091847</t>
  </si>
  <si>
    <t>HOSPEDAGEM_JHON_RANDLER</t>
  </si>
  <si>
    <t>000091860</t>
  </si>
  <si>
    <t>HOSPEDAGEM_JENECY_SOUZA</t>
  </si>
  <si>
    <t>002</t>
  </si>
  <si>
    <t>000000077</t>
  </si>
  <si>
    <t>000000084</t>
  </si>
  <si>
    <t>000000085</t>
  </si>
  <si>
    <t>2.9905</t>
  </si>
  <si>
    <t>IR S/ RESGATE APLICACOES</t>
  </si>
  <si>
    <t>260831/VENCIMENTO COMPROMISSADAS-RESGATE</t>
  </si>
  <si>
    <t>01092026/TB - RESGATE CONTAMAX AUTOMATICO</t>
  </si>
  <si>
    <t>DESPESAS BANCARIAS - SANTANDER</t>
  </si>
  <si>
    <t>000001454</t>
  </si>
  <si>
    <t>VALOR PAGO S /TITULO</t>
  </si>
  <si>
    <t>020260831</t>
  </si>
  <si>
    <t>2.0407</t>
  </si>
  <si>
    <t>ALUG_ENG_THIAGO_PROP_4_DIAS</t>
  </si>
  <si>
    <t>ALUG_ENG_I_PROPORC_5_DIAS</t>
  </si>
  <si>
    <t>014315</t>
  </si>
  <si>
    <t>JHON RANDLER DOS SANTOS BELARMINO</t>
  </si>
  <si>
    <t>2.1305</t>
  </si>
  <si>
    <t>REEMB_REFEICAO_16/08_23/08</t>
  </si>
  <si>
    <t>FOL</t>
  </si>
  <si>
    <t>000000013</t>
  </si>
  <si>
    <t>000162</t>
  </si>
  <si>
    <t>FOLHA DE PAGAMENTO</t>
  </si>
  <si>
    <t>2.0201</t>
  </si>
  <si>
    <t>LIQUIDO_FOPAG_CSD_202608 - COMPETAªNCIA:</t>
  </si>
  <si>
    <t>MAN</t>
  </si>
  <si>
    <t>ISS0826</t>
  </si>
  <si>
    <t>IMP</t>
  </si>
  <si>
    <t>I000O2</t>
  </si>
  <si>
    <t>MUNICIPIO</t>
  </si>
  <si>
    <t>2.9904</t>
  </si>
  <si>
    <t>ISS TERC 08/2026 CISD</t>
  </si>
  <si>
    <t>260902/RESGATE COMPROMISSADAS</t>
  </si>
  <si>
    <t>03092026/RESGATE CONTAMAX AUTOMATICO</t>
  </si>
  <si>
    <t>TAR PIX PGTO FORNEC - OUTRA INST</t>
  </si>
  <si>
    <t>04092026/RESGATE CONTAMAX AUTOMATICO</t>
  </si>
  <si>
    <t>000000449</t>
  </si>
  <si>
    <t>006155</t>
  </si>
  <si>
    <t>ELAINE DA SILVA ARAUJO 02163247503</t>
  </si>
  <si>
    <t>2.0401</t>
  </si>
  <si>
    <t>LOCACAO_IMPRESSORA</t>
  </si>
  <si>
    <t>000017139</t>
  </si>
  <si>
    <t>003126</t>
  </si>
  <si>
    <t>AMERICATUR AGENCIA DE VIAGENS LTDA</t>
  </si>
  <si>
    <t>2.0615</t>
  </si>
  <si>
    <t>TAXA_DE_FEE</t>
  </si>
  <si>
    <t>B</t>
  </si>
  <si>
    <t>000227231</t>
  </si>
  <si>
    <t>000002</t>
  </si>
  <si>
    <t>CODEF COMERCIAL DE FERRAMENTAS LTDA</t>
  </si>
  <si>
    <t>2.0211</t>
  </si>
  <si>
    <t>08092026/RESGATE CONTAMAX AUTOMATICO</t>
  </si>
  <si>
    <t>000000303</t>
  </si>
  <si>
    <t>101881</t>
  </si>
  <si>
    <t>CASE BY CASE ENGENHARIA E MANUTENCAO LTDA</t>
  </si>
  <si>
    <t>2.0614</t>
  </si>
  <si>
    <t>PROJETO_ESTRUT_METALICO_SONDA</t>
  </si>
  <si>
    <t>000089366</t>
  </si>
  <si>
    <t>2.1301</t>
  </si>
  <si>
    <t>PASSAGENS_AEREAS_4/08 A 14/08</t>
  </si>
  <si>
    <t>001</t>
  </si>
  <si>
    <t>000020599</t>
  </si>
  <si>
    <t>000693</t>
  </si>
  <si>
    <t>BAHIA ESPORTE E PESCA LTDA</t>
  </si>
  <si>
    <t>2.0114</t>
  </si>
  <si>
    <t>000400825</t>
  </si>
  <si>
    <t>000100</t>
  </si>
  <si>
    <t>ATACADAO DO PAPEL LTDA</t>
  </si>
  <si>
    <t>2.0707</t>
  </si>
  <si>
    <t>000000829</t>
  </si>
  <si>
    <t>015364</t>
  </si>
  <si>
    <t>NAUTICA MARITIMA SERVICOS LTDA</t>
  </si>
  <si>
    <t>ADT 25% CONTRATO FRENTE NAUTICA</t>
  </si>
  <si>
    <t>000000830</t>
  </si>
  <si>
    <t>ADT MOBILIZACAO OBRA</t>
  </si>
  <si>
    <t>260909/RESGATE COMPRMISSADAS</t>
  </si>
  <si>
    <t>10092026/RESGATE CONTAMAX AUTOMATICO</t>
  </si>
  <si>
    <t>11092026/RESGATE DE COMPROMISSADA</t>
  </si>
  <si>
    <t>000000831</t>
  </si>
  <si>
    <t>004098</t>
  </si>
  <si>
    <t>TD SYNNEX BRASIL LTDA</t>
  </si>
  <si>
    <t>ADT CONTR SERVICOS NUVEM +MICROSOFT 365</t>
  </si>
  <si>
    <t>14092026/RESGATE DE COMPROMISSADA</t>
  </si>
  <si>
    <t>000002278</t>
  </si>
  <si>
    <t>103993</t>
  </si>
  <si>
    <t>GARIBALDI COPIADORA LTDA</t>
  </si>
  <si>
    <t>PLOTAGENS_IMPRESSOES_08/2026</t>
  </si>
  <si>
    <t>000005946</t>
  </si>
  <si>
    <t>102204</t>
  </si>
  <si>
    <t>BAHIA WORKWEAR UNIFORMES LTDA</t>
  </si>
  <si>
    <t>000007453</t>
  </si>
  <si>
    <t>006802</t>
  </si>
  <si>
    <t>EVERTON FARIAS CARVALHO - ME</t>
  </si>
  <si>
    <t>2.0904</t>
  </si>
  <si>
    <t>000015509</t>
  </si>
  <si>
    <t>001704</t>
  </si>
  <si>
    <t>CANEL CABOS DE ACO DO NORDESTE LTDA</t>
  </si>
  <si>
    <t>2.0110</t>
  </si>
  <si>
    <t>000020669</t>
  </si>
  <si>
    <t>2.0118</t>
  </si>
  <si>
    <t>000020670</t>
  </si>
  <si>
    <t>2.0119</t>
  </si>
  <si>
    <t>000020707</t>
  </si>
  <si>
    <t>2.0120</t>
  </si>
  <si>
    <t>ADI</t>
  </si>
  <si>
    <t>000000027</t>
  </si>
  <si>
    <t>ADIANTAMENTO_SALARIAL_CSD_202609 - COMPE</t>
  </si>
  <si>
    <t>000000834</t>
  </si>
  <si>
    <t>015380</t>
  </si>
  <si>
    <t>ROSE MEIRE DE OLIVEIRA SOUSA</t>
  </si>
  <si>
    <t>CAUCAO APT MESTRE, TST,SUPER TOPOGRAFIA</t>
  </si>
  <si>
    <t>14092026/APLICACAO CONTAMAX</t>
  </si>
  <si>
    <t>15092026/RESGATE CONTAMAX AUTOMATICO</t>
  </si>
  <si>
    <t>TAR EMISSAO TED CIP PGTO FORNEC</t>
  </si>
  <si>
    <t>16092026/RESGATE CONTAMAX AUTOMATICO</t>
  </si>
  <si>
    <t>000000304</t>
  </si>
  <si>
    <t>PLANO_RIGGING_BALSA_BARTIRA</t>
  </si>
  <si>
    <t>000000531</t>
  </si>
  <si>
    <t>014681</t>
  </si>
  <si>
    <t>27.180.988 MIGUEL MIRANDA CARDOSO</t>
  </si>
  <si>
    <t>TRANSPORTE_COLETA_MATERIAIS</t>
  </si>
  <si>
    <t>000001462</t>
  </si>
  <si>
    <t>FORN. DE AGUA MINERAL</t>
  </si>
  <si>
    <t>000016429</t>
  </si>
  <si>
    <t>TAXA_PCMSO_ELABORACAO</t>
  </si>
  <si>
    <t>000016430</t>
  </si>
  <si>
    <t>000016431</t>
  </si>
  <si>
    <t>000016432</t>
  </si>
  <si>
    <t>000018061</t>
  </si>
  <si>
    <t>AGUA_MINERAL_RENNAN_92222</t>
  </si>
  <si>
    <t>000018062</t>
  </si>
  <si>
    <t>AGUA_MINERA_DANIEL_ 92223</t>
  </si>
  <si>
    <t>000039153</t>
  </si>
  <si>
    <t>EXAME_OCUPAC_ALEXANDRE_MENDES</t>
  </si>
  <si>
    <t>000039154</t>
  </si>
  <si>
    <t>EXAMES_OCUP_HUMBERTO_RAIMUNDO</t>
  </si>
  <si>
    <t>000039155</t>
  </si>
  <si>
    <t>EXAME_OCUPAC_MAYKON_THIAGO</t>
  </si>
  <si>
    <t>000039157</t>
  </si>
  <si>
    <t>EXAME_OCUPAC_RAFAEL_CONCEICAO</t>
  </si>
  <si>
    <t>000039158</t>
  </si>
  <si>
    <t>EXAME_OCUPAC_HEITOR_WASHINFTON</t>
  </si>
  <si>
    <t>000039161</t>
  </si>
  <si>
    <t>EXAME_OCUPAC_VITOR_MATOS</t>
  </si>
  <si>
    <t>000087357</t>
  </si>
  <si>
    <t>015176</t>
  </si>
  <si>
    <t>ALLPARK EMPREENDIMENTOS, PARTICIPACOES E SERVICOS S.A.</t>
  </si>
  <si>
    <t>ESTACIONAMENTO_MENSAL_3_VEC</t>
  </si>
  <si>
    <t>000087628</t>
  </si>
  <si>
    <t>ESTACIONAMENTO_6_VAGAS_MENSAL</t>
  </si>
  <si>
    <t>000092222</t>
  </si>
  <si>
    <t>HOSPED_RENNAN_VITOR_PROFITTO</t>
  </si>
  <si>
    <t>000092223</t>
  </si>
  <si>
    <t>HOSP_DANIEL_LIMA_PROFITTO</t>
  </si>
  <si>
    <t>000005416</t>
  </si>
  <si>
    <t>007207</t>
  </si>
  <si>
    <t>IRMAS VALENTIM UNIFORMES LTDA</t>
  </si>
  <si>
    <t>FARDAS PARA USO EM OBRA</t>
  </si>
  <si>
    <t>000078398</t>
  </si>
  <si>
    <t>ATACADAO DO PAPEL EIRELI</t>
  </si>
  <si>
    <t>TECLADO/MOUSE PARA USO EM OBRA</t>
  </si>
  <si>
    <t>000227628</t>
  </si>
  <si>
    <t>EPI`S PARA USO EM OBRA - PERNE</t>
  </si>
  <si>
    <t>000227713</t>
  </si>
  <si>
    <t>000227772</t>
  </si>
  <si>
    <t>FGT</t>
  </si>
  <si>
    <t>000000038</t>
  </si>
  <si>
    <t>010410</t>
  </si>
  <si>
    <t>FGTS MENSAL - FOPAG</t>
  </si>
  <si>
    <t>2.0203</t>
  </si>
  <si>
    <t>FGTS_CSD_202608</t>
  </si>
  <si>
    <t>INS</t>
  </si>
  <si>
    <t>000000001</t>
  </si>
  <si>
    <t>001025</t>
  </si>
  <si>
    <t>PREVIDENCIA SOCIAL</t>
  </si>
  <si>
    <t>INSS CSD 202608</t>
  </si>
  <si>
    <t>IRF</t>
  </si>
  <si>
    <t>000000035</t>
  </si>
  <si>
    <t>I00001</t>
  </si>
  <si>
    <t>UNIAO - IRRF TERCEIROS PESSOA JURIDICA</t>
  </si>
  <si>
    <t>IRRF FOL- 202608</t>
  </si>
  <si>
    <t>17080826</t>
  </si>
  <si>
    <t>I000O1</t>
  </si>
  <si>
    <t>UNIAO</t>
  </si>
  <si>
    <t>2.9903</t>
  </si>
  <si>
    <t>IRRF TERCEIROS 08/2026</t>
  </si>
  <si>
    <t>59520826</t>
  </si>
  <si>
    <t>2.9901</t>
  </si>
  <si>
    <t>CSRF 08/2026</t>
  </si>
  <si>
    <t>DEV ATIVACAO CONTA-BEOP</t>
  </si>
  <si>
    <t>000000835</t>
  </si>
  <si>
    <t>008168</t>
  </si>
  <si>
    <t>ATIVACAO CTA REIDI - VLR A DEVOLVER</t>
  </si>
  <si>
    <t>16092026/TRANSF MESMA TITULARIDADE BCO SANTANDER</t>
  </si>
  <si>
    <t>HOSPEDAGEM</t>
  </si>
  <si>
    <t>ISS DE TERCEIROS</t>
  </si>
  <si>
    <t>IRRF DE TERCEIROS</t>
  </si>
  <si>
    <t>CSRF – RETENÇÕES TRIBUTÁRIAS</t>
  </si>
  <si>
    <t>SETOR</t>
  </si>
  <si>
    <t>TIPO</t>
  </si>
  <si>
    <t>SAIDA</t>
  </si>
  <si>
    <t>ENTRADA</t>
  </si>
  <si>
    <t>NATUREZA</t>
  </si>
  <si>
    <t>DESCRIÇÃO</t>
  </si>
  <si>
    <t>DIRETORIA</t>
  </si>
  <si>
    <t>FINANCEIRO</t>
  </si>
  <si>
    <t>ADMINISTRATIVO</t>
  </si>
  <si>
    <t>SEGURO GARANTIA</t>
  </si>
  <si>
    <t>EXAMES OCUPACIONAIS / PCMSO</t>
  </si>
  <si>
    <t>RH</t>
  </si>
  <si>
    <t>ADIANTAMENTOS DIVERSOS</t>
  </si>
  <si>
    <t>OPERACIONAL</t>
  </si>
  <si>
    <t>VALE-TRANSPORTE</t>
  </si>
  <si>
    <t>ENGENHARIA</t>
  </si>
  <si>
    <t>IR SOBRE RESGATE DE APLICAÇÕES</t>
  </si>
  <si>
    <t>FISCAL</t>
  </si>
  <si>
    <t>ADIANTAMENTO DE CLIENTE</t>
  </si>
  <si>
    <t>COMPORTAMENTO CAIXA</t>
  </si>
  <si>
    <t>NAO OPERACIONAL</t>
  </si>
  <si>
    <t>ENCARGOS SOCIAIS</t>
  </si>
  <si>
    <t>MATERIAIS / ACESSORIOS NAUTICOS</t>
  </si>
  <si>
    <t>SUPRIMENTOS</t>
  </si>
  <si>
    <t>MATERIAL DE ESCRITORIO</t>
  </si>
  <si>
    <t>MATERIAIS SINTETICOS</t>
  </si>
  <si>
    <t>QSMS</t>
  </si>
  <si>
    <t>MATERIAIS PARA CONTRUCAO CIVIL</t>
  </si>
  <si>
    <t>CATEGORIA</t>
  </si>
  <si>
    <t>Impostos/Tributos e Taxas</t>
  </si>
  <si>
    <t>Alimentação</t>
  </si>
  <si>
    <t>Seguros</t>
  </si>
  <si>
    <t>Folha e Benefícios</t>
  </si>
  <si>
    <t>Serviços de Terceiros</t>
  </si>
  <si>
    <t>Reembolso/Prestação de Contas</t>
  </si>
  <si>
    <t>Transporte/Logística</t>
  </si>
  <si>
    <t>Locação de Imóveis</t>
  </si>
  <si>
    <t>Viagens/Deslocamento</t>
  </si>
  <si>
    <t>Locação de Equipamentos/Veículos</t>
  </si>
  <si>
    <t>Materiais/Peças/Ferramentas</t>
  </si>
  <si>
    <t>Equipamentos/Informática</t>
  </si>
  <si>
    <t>Entrada</t>
  </si>
  <si>
    <t>DISTRIBUIÇÃO ANTECIPADA</t>
  </si>
  <si>
    <t>AGUA POTAVEL</t>
  </si>
  <si>
    <t>MATERIAL GRAFICO / COPIAS / FOTOGRAFIAS</t>
  </si>
  <si>
    <t>SERVICOS HIDROGRAFICOS/GEOFISICOS</t>
  </si>
  <si>
    <t>CAUÇÃO IMÓVEL</t>
  </si>
  <si>
    <t>CONDUCOES / TRANSPORTES</t>
  </si>
  <si>
    <t>ORGAOS DE CLASSE EMPRESA / SOCIOS</t>
  </si>
  <si>
    <t>AGUA BRUTA</t>
  </si>
  <si>
    <t>LOCACAO DE VEICULOS TERCEIROS</t>
  </si>
  <si>
    <t>REEMBOLSO ALIMENTACAO</t>
  </si>
  <si>
    <t>LOCACAO MAQUINAS EQUIPAMENTOS TERCEIROS</t>
  </si>
  <si>
    <t>SERVICOS DE CORRETAGEM</t>
  </si>
  <si>
    <t>FARDAMENTO / EPI</t>
  </si>
  <si>
    <t>SERVICOS DE APOIO OPERACIONAL</t>
  </si>
  <si>
    <t>PASSAGENS AEREAS</t>
  </si>
  <si>
    <t>SUPRIMENTOS / PERIFERICOS INFORMATICA</t>
  </si>
  <si>
    <t>CABOS DE ACO / CORRENTES / ACESSORIOS</t>
  </si>
  <si>
    <t>REND RECEB DE APLIC FINANCEIRA</t>
  </si>
  <si>
    <t xml:space="preserve">RESGATE CONTAMAX AUTOMATICO  </t>
  </si>
  <si>
    <t>CATEGORIA FLUXO DE CAIXA</t>
  </si>
  <si>
    <t>Transferência de Entrada</t>
  </si>
  <si>
    <t>Transferência de Saída</t>
  </si>
  <si>
    <t>Distribuição Antecipada</t>
  </si>
  <si>
    <t>RESGATE COMPROMISSADA</t>
  </si>
  <si>
    <t>VENCIMENTO COMPROMISSADA</t>
  </si>
  <si>
    <t>Saídas</t>
  </si>
  <si>
    <t>Transferências</t>
  </si>
  <si>
    <t>Investimentos</t>
  </si>
  <si>
    <t>TRANSFERÊNCIA ENTRE CONTAS</t>
  </si>
  <si>
    <t>9.01011</t>
  </si>
  <si>
    <t>9.01012</t>
  </si>
  <si>
    <t>9.01013</t>
  </si>
  <si>
    <t>9.01021</t>
  </si>
  <si>
    <t>9.01022</t>
  </si>
  <si>
    <t>9.01023</t>
  </si>
  <si>
    <t xml:space="preserve">RESGATE CONTAMAX AUTOMATICO </t>
  </si>
  <si>
    <t>RESGATE COMPROMISSADAS</t>
  </si>
  <si>
    <t>Outras Receitas</t>
  </si>
  <si>
    <t>2.10010</t>
  </si>
  <si>
    <t>BEOP</t>
  </si>
  <si>
    <t>CDB</t>
  </si>
  <si>
    <t>COMPROMISSADA</t>
  </si>
  <si>
    <t>CONTAMAX</t>
  </si>
  <si>
    <t>DEVOLUÇÃO BEOP</t>
  </si>
  <si>
    <t>JURÍDICO</t>
  </si>
  <si>
    <t>ID</t>
  </si>
  <si>
    <t>CLASSE CONTA</t>
  </si>
  <si>
    <t>BANCO</t>
  </si>
  <si>
    <t>AGENCIA</t>
  </si>
  <si>
    <t>CONTA</t>
  </si>
  <si>
    <t>13010584</t>
  </si>
  <si>
    <t>Principal</t>
  </si>
  <si>
    <t>CLASSE</t>
  </si>
  <si>
    <t>Beop</t>
  </si>
  <si>
    <t>Fundo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</si>
</sst>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43" fontId="2" fillId="0" borderId="0" xfId="1" applyFont="1" applyAlignment="1">
      <alignment horizontal="left"/>
    </xf>
    <xf numFmtId="43" fontId="0" fillId="0" borderId="0" xfId="1" applyFont="1"/>
    <xf numFmtId="14" fontId="0" fillId="0" borderId="0" xfId="0" applyNumberFormat="1"/>
    <xf numFmtId="0" fontId="3" fillId="2" borderId="0" xfId="2" applyFont="1" applyFill="1" applyAlignment="1">
      <alignment horizontal="center" vertical="center"/>
    </xf>
    <xf numFmtId="0" fontId="4" fillId="0" borderId="0" xfId="2" applyFont="1"/>
    <xf numFmtId="0" fontId="5" fillId="0" borderId="0" xfId="2" applyFont="1"/>
    <xf numFmtId="43" fontId="2" fillId="3" borderId="0" xfId="0" applyNumberFormat="1" applyFont="1" applyFill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9" fontId="4" fillId="0" borderId="0" xfId="2" applyNumberFormat="1" applyFont="1"/>
    <xf numFmtId="4" fontId="0" fillId="0" borderId="0" xfId="0" applyNumberFormat="1"/>
    <xf numFmtId="43" fontId="0" fillId="0" borderId="0" xfId="0" applyNumberFormat="1"/>
    <xf numFmtId="0" fontId="2" fillId="2" borderId="0" xfId="2" applyFont="1" applyFill="1" applyAlignment="1">
      <alignment horizontal="left"/>
    </xf>
    <xf numFmtId="49" fontId="0" fillId="0" borderId="0" xfId="0" applyNumberFormat="1"/>
  </cellXfs>
  <cellStyles count="3">
    <cellStyle name="Normal" xfId="0" builtinId="0"/>
    <cellStyle name="Normal 2" xfId="2" xr:uid="{00000000-0005-0000-0000-000001000000}"/>
    <cellStyle name="Vírgula" xfId="1" builtinId="3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5" formatCode="_-* #,##0.00_-;\-* #,##0.00_-;_-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67256-8494-44B7-89EA-B5EA65260507}" name="Tabela1" displayName="Tabela1" ref="A1:AB43" totalsRowShown="0" headerRowDxfId="95" dataDxfId="94">
  <autoFilter ref="A1:AB43" xr:uid="{A9267256-8494-44B7-89EA-B5EA65260507}"/>
  <tableColumns count="28">
    <tableColumn id="1" xr3:uid="{8F5C5374-F21E-4D91-8E43-6A4E4F85FDCB}" name="ID" dataDxfId="93">
      <calculatedColumnFormula>IF(Tabela1[[#This Row],[Natureza]]&lt;&gt;"",ROW(Tabela1[[#This Row],[Natureza]])-1)</calculatedColumnFormula>
    </tableColumn>
    <tableColumn id="2" xr3:uid="{67A820EE-2050-4AA3-839F-4751A7E84CC9}" name="Prf" dataDxfId="92"/>
    <tableColumn id="3" xr3:uid="{FC4D465C-B89E-4C20-92D3-9AA197987B29}" name="Numero" dataDxfId="91"/>
    <tableColumn id="4" xr3:uid="{A6EF1889-CA71-4EF4-A23A-A70859863B9F}" name="Prc" dataDxfId="90"/>
    <tableColumn id="5" xr3:uid="{CD78A05F-E724-46AA-9961-49811C8278F8}" name="TP" dataDxfId="89"/>
    <tableColumn id="6" xr3:uid="{C6CED96C-5BC7-4E50-9F3C-ADEE46F8DA70}" name="Cli/For" dataDxfId="88"/>
    <tableColumn id="7" xr3:uid="{7A59A253-825D-4C77-96CE-1691358ED589}" name="NOME CLI/FOR" dataDxfId="87"/>
    <tableColumn id="8" xr3:uid="{3AF447B7-A94F-445B-A6BF-0F707C729C01}" name="Natureza" dataDxfId="86" dataCellStyle="Normal 2"/>
    <tableColumn id="9" xr3:uid="{00423C97-4078-446F-AF40-8327C3B70AD7}" name="Vencto" dataDxfId="85"/>
    <tableColumn id="10" xr3:uid="{52BE5F59-4F0B-40FA-8740-4FB37B96ED32}" name="Historico" dataDxfId="84"/>
    <tableColumn id="11" xr3:uid="{AD1AF51E-53A8-4EB1-9561-99D7F98C836E}" name="Dt Baixa" dataDxfId="83"/>
    <tableColumn id="12" xr3:uid="{18C84B85-5A11-40A5-B413-DC1E0079BEBA}" name="Valor Original" dataDxfId="82"/>
    <tableColumn id="13" xr3:uid="{0F334275-2469-4171-92E1-097838685E4A}" name="Jur/Multa" dataDxfId="81"/>
    <tableColumn id="14" xr3:uid="{446ADDB6-F950-4CFF-B2E1-DF24B2658061}" name="CORRECAO" dataDxfId="80"/>
    <tableColumn id="15" xr3:uid="{013D8C4A-4BEE-487B-9459-25C522739309}" name="Descontos" dataDxfId="79"/>
    <tableColumn id="16" xr3:uid="{D88E6DD4-768A-45EA-B9EB-3D9EFCF05D32}" name="Abatim." dataDxfId="78"/>
    <tableColumn id="17" xr3:uid="{DAC8CF2A-0402-450E-9D68-4012486B20B3}" name="IMPOSTOS" dataDxfId="77"/>
    <tableColumn id="18" xr3:uid="{E8C4A533-4BF6-4ACD-A30E-8A5519109225}" name="Total Baixado" dataDxfId="76" dataCellStyle="Vírgula"/>
    <tableColumn id="19" xr3:uid="{A613FE8C-674D-4575-A5A3-FA2CA71247A9}" name="Bco" dataDxfId="75"/>
    <tableColumn id="20" xr3:uid="{6B97CAE4-F279-43DE-9300-B7BE4173DEB3}" name="Dt Dig." dataDxfId="74"/>
    <tableColumn id="21" xr3:uid="{974417B5-64ED-4BBD-ADBB-35F6D183F2FE}" name="Mot" dataDxfId="73"/>
    <tableColumn id="22" xr3:uid="{78E25F42-A1A7-4467-A419-BB6685E19B9C}" name="Orig" dataDxfId="72"/>
    <tableColumn id="23" xr3:uid="{91D629AE-8909-4361-B90A-751C88523902}" name="C. de Custo" dataDxfId="71"/>
    <tableColumn id="24" xr3:uid="{DD17231E-00E9-4920-B63E-960E4780B383}" name="Agencia" dataDxfId="70"/>
    <tableColumn id="25" xr3:uid="{D80BC43D-BA47-40D5-96B3-C2E2019B7735}" name="Conta Banco" dataDxfId="69"/>
    <tableColumn id="26" xr3:uid="{BA858DBB-B107-49F2-AE10-AA1A30F04E14}" name="TIPO" dataDxfId="68"/>
    <tableColumn id="27" xr3:uid="{EFA33FC5-5A17-44AE-8A6E-FAB198C553E6}" name="CATEGORIA" dataDxfId="67">
      <calculatedColumnFormula>IFERROR(VLOOKUP(Tabela1[[#This Row],[Natureza]],Tabela4[[#All],[NATUREZA]:[CATEGORIA]],6,FALSE),"")</calculatedColumnFormula>
    </tableColumn>
    <tableColumn id="28" xr3:uid="{395ABA3C-0F5B-4B00-85F7-A14CCD5574A1}" name="CLASSE CONTA" dataDxfId="6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F4133-9D85-4E1A-B480-0F4F2DDAFFE7}" name="Tabela2" displayName="Tabela2" ref="A1:AA129" totalsRowShown="0" headerRowDxfId="65" dataDxfId="64">
  <autoFilter ref="A1:AA129" xr:uid="{CDAF4133-9D85-4E1A-B480-0F4F2DDAFFE7}"/>
  <tableColumns count="27">
    <tableColumn id="1" xr3:uid="{74FC3E53-72ED-4175-9928-85F10827B81C}" name="ID" dataDxfId="63">
      <calculatedColumnFormula>IF(Tabela2[[#This Row],[Natureza]]&lt;&gt;"",ROW(Tabela2[[#This Row],[Natureza]])-1)</calculatedColumnFormula>
    </tableColumn>
    <tableColumn id="2" xr3:uid="{EAE63B09-2F43-4879-AA0F-00D3AB7A232A}" name="Prf" dataDxfId="62"/>
    <tableColumn id="3" xr3:uid="{47AACF3F-0785-44B0-90D8-A6CD06C4CCFE}" name="Numero" dataDxfId="61"/>
    <tableColumn id="4" xr3:uid="{7914448E-5F57-4A67-A3F6-945B0D386113}" name="Prc" dataDxfId="60"/>
    <tableColumn id="5" xr3:uid="{6F0BE8CD-D153-47E2-8591-2EF0328B83DC}" name="TP" dataDxfId="59"/>
    <tableColumn id="6" xr3:uid="{4A11A621-0420-4451-BB20-E552A76B76AE}" name="Cli/For" dataDxfId="58"/>
    <tableColumn id="7" xr3:uid="{C11C80E0-40B9-482E-8BED-321F3D883C0F}" name="NOME CLI/FOR" dataDxfId="57"/>
    <tableColumn id="8" xr3:uid="{4036FE76-789E-4B5B-A23A-128AC75F9F4F}" name="Natureza" dataDxfId="56"/>
    <tableColumn id="9" xr3:uid="{B5E517D8-4927-4B84-8717-5EF2305C49AB}" name="Vencto" dataDxfId="55"/>
    <tableColumn id="10" xr3:uid="{994F2200-9A24-4D93-A6D9-BFF3270FEB5B}" name="Historico" dataDxfId="54"/>
    <tableColumn id="11" xr3:uid="{DBF3F2A9-2805-4613-87D4-9FFABC3F1F40}" name="Dt Baixa" dataDxfId="53"/>
    <tableColumn id="12" xr3:uid="{32E43691-AB5C-4B49-A941-883576DE0355}" name="Valor Original" dataDxfId="52" dataCellStyle="Vírgula"/>
    <tableColumn id="13" xr3:uid="{329B6305-1C52-468A-87DE-AAC77F2978B4}" name="Jur/Multa" dataDxfId="51"/>
    <tableColumn id="14" xr3:uid="{03239EF1-1060-4043-AE76-997C4D1B0255}" name="CORRECAO" dataDxfId="50"/>
    <tableColumn id="15" xr3:uid="{07C13862-7637-4403-B20F-A5A001C3B7BC}" name="Descontos" dataDxfId="49"/>
    <tableColumn id="16" xr3:uid="{0BDFE2F0-4B9F-46FF-BD0B-DF2C4B2E6E69}" name="Abatim." dataDxfId="48"/>
    <tableColumn id="17" xr3:uid="{67277A2A-6A6A-4DC5-B8E4-6CD685E78F55}" name="IMPOSTOS" dataDxfId="47"/>
    <tableColumn id="18" xr3:uid="{BFE0EE6D-63DF-47B2-9189-E6D9C944381F}" name="Total Baixado" dataDxfId="46" dataCellStyle="Vírgula"/>
    <tableColumn id="19" xr3:uid="{0D7C9C2D-4552-42A7-B41D-DC11527A6174}" name="Bco" dataDxfId="45"/>
    <tableColumn id="20" xr3:uid="{5530A69E-1D6E-45C3-B386-DB768C69F25C}" name="Dt Dig." dataDxfId="44"/>
    <tableColumn id="21" xr3:uid="{73BF85AD-4712-460F-A433-27EA906CCE47}" name="Mot" dataDxfId="43"/>
    <tableColumn id="22" xr3:uid="{964E17F1-6794-4D8C-954E-A7254DDE1A15}" name="Orig" dataDxfId="42"/>
    <tableColumn id="23" xr3:uid="{A70E784D-1C57-4C4E-A584-8741B00D9442}" name="C. de Custo" dataDxfId="41"/>
    <tableColumn id="24" xr3:uid="{1CE67A87-80D4-425F-9261-1F78E7223DCE}" name="Agencia" dataDxfId="40"/>
    <tableColumn id="25" xr3:uid="{FD995092-675A-4690-A13F-75C11B18CA80}" name="Conta Banco" dataDxfId="39"/>
    <tableColumn id="26" xr3:uid="{18C279EB-018A-4F46-9338-6E5F6FFB2D0E}" name="TIPO" dataDxfId="38"/>
    <tableColumn id="27" xr3:uid="{1D1977F0-9D2C-4BF7-ADA6-9DA6330E326D}" name="CATEGORIA" dataDxfId="37">
      <calculatedColumnFormula>IFERROR(VLOOKUP(Tabela2[[#This Row],[Natureza]],Tabela4[[#All],[NATUREZA]:[CATEGORIA]],6,FALSE),"")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680783-32B2-4D4C-9073-7060B33CA5CE}" name="Tabela3" displayName="Tabela3" ref="A1:AA47" totalsRowShown="0" headerRowDxfId="36" dataDxfId="35">
  <autoFilter ref="A1:AA47" xr:uid="{8B680783-32B2-4D4C-9073-7060B33CA5CE}">
    <filterColumn colId="24">
      <filters>
        <filter val="1301056500"/>
      </filters>
    </filterColumn>
  </autoFilter>
  <tableColumns count="27">
    <tableColumn id="1" xr3:uid="{52E77C81-7CB7-4D87-A70A-DED95BF21D32}" name="ID" dataDxfId="34">
      <calculatedColumnFormula>IF(Tabela3[[#This Row],[Natureza]]&lt;&gt;"",ROW(Tabela3[[#This Row],[Natureza]])-1)</calculatedColumnFormula>
    </tableColumn>
    <tableColumn id="2" xr3:uid="{0453C1D8-585F-4153-A2C7-BA443D15D6F8}" name="Prf" dataDxfId="33"/>
    <tableColumn id="3" xr3:uid="{170C74AB-3150-4C00-9D45-8369A3ED12F5}" name="Numero" dataDxfId="32"/>
    <tableColumn id="4" xr3:uid="{B20FA379-DE10-4A43-925E-9AB5E19E46EE}" name="Prc" dataDxfId="31"/>
    <tableColumn id="5" xr3:uid="{FCD2C82B-F6D2-4CD4-A1FF-08E6B1284FAD}" name="TP" dataDxfId="30"/>
    <tableColumn id="6" xr3:uid="{B486045C-3AD3-442E-9BE5-D5CEE1D1BA72}" name="Cli/For" dataDxfId="29"/>
    <tableColumn id="7" xr3:uid="{047F65B4-D06A-41D5-A055-89FB27D48F82}" name="NOME CLI/FOR" dataDxfId="28"/>
    <tableColumn id="8" xr3:uid="{51500DBC-4BEE-4373-99CF-C7C28614A898}" name="Natureza" dataDxfId="27"/>
    <tableColumn id="9" xr3:uid="{AA33AE9B-708D-4380-BF96-FA9198F2BEEA}" name="Vencto" dataDxfId="26"/>
    <tableColumn id="10" xr3:uid="{37F81AD3-58AC-46FC-9960-D731574F4F43}" name="Historico" dataDxfId="25"/>
    <tableColumn id="11" xr3:uid="{7CEC81A4-82B7-4273-954D-A3D663F5989C}" name="Dt Baixa" dataDxfId="24"/>
    <tableColumn id="12" xr3:uid="{068A816B-6416-449A-AF87-5CA1C3E35F31}" name="Valor Original" dataDxfId="23" dataCellStyle="Vírgula"/>
    <tableColumn id="13" xr3:uid="{9A3D75A5-601B-4216-A2FC-CC28992FC8C9}" name="Jur/Multa" dataDxfId="22"/>
    <tableColumn id="14" xr3:uid="{D7BD4F12-24B1-426F-81CC-5F4EF105BFC8}" name="CORRECAO" dataDxfId="21"/>
    <tableColumn id="15" xr3:uid="{39B322E2-183F-4A05-99E3-A26CF46C1F06}" name="Descontos" dataDxfId="20"/>
    <tableColumn id="16" xr3:uid="{D1593D8D-C3B5-41DF-85C6-3FF26CE7BBAE}" name="Abatim." dataDxfId="19"/>
    <tableColumn id="17" xr3:uid="{87A367CD-5452-4BD0-9C75-2FB2D84EEEB8}" name="IMPOSTOS" dataDxfId="18"/>
    <tableColumn id="18" xr3:uid="{30646A3E-0AB5-4D2C-B08E-0D4AC4618AD7}" name="Total Baixado" dataDxfId="17" dataCellStyle="Vírgula"/>
    <tableColumn id="19" xr3:uid="{F892E613-C30D-4971-B76B-9E3FB8AF5938}" name="Bco" dataDxfId="16"/>
    <tableColumn id="20" xr3:uid="{B0F4AC66-E3AD-421C-98DA-A527E3FB2E88}" name="Dt Dig." dataDxfId="15"/>
    <tableColumn id="21" xr3:uid="{794FE657-F1C8-4F6E-9E2A-9D0966ADE32A}" name="Mot" dataDxfId="14"/>
    <tableColumn id="22" xr3:uid="{CAB310BA-C728-47B9-9A69-8387A3F00D5B}" name="Orig" dataDxfId="13"/>
    <tableColumn id="23" xr3:uid="{85700F7D-84B8-4920-83D8-59A97E0F0C50}" name="C. de Custo" dataDxfId="12"/>
    <tableColumn id="24" xr3:uid="{F0BE227E-3608-46A4-B4B1-6358AC7C78D2}" name="Agencia" dataDxfId="11"/>
    <tableColumn id="25" xr3:uid="{8A8716A9-D25E-44A5-91FE-32C99069C1D7}" name="Conta Banco" dataDxfId="10"/>
    <tableColumn id="26" xr3:uid="{DD750E66-EB68-4E51-9185-A23C82D6E636}" name="TIPO" dataDxfId="9"/>
    <tableColumn id="27" xr3:uid="{9DA91630-31AA-4BF5-B144-7BA68244BB00}" name="CATEGORIA" dataDxfId="8">
      <calculatedColumnFormula>IFERROR(VLOOKUP(Tabela3[[#This Row],[Natureza]],Tabela4[[#All],[NATUREZA]:[CATEGORIA]],6,FALSE),"")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5EFF9E-6A72-4AF8-93C1-95B644044F5C}" name="Tabela4" displayName="Tabela4" ref="A1:G46" totalsRowShown="0" headerRowDxfId="7" dataDxfId="6" headerRowCellStyle="Normal 2" dataCellStyle="Normal 2">
  <autoFilter ref="A1:G46" xr:uid="{00000000-0001-0000-0200-000000000000}">
    <filterColumn colId="6">
      <filters>
        <filter val="Transferências"/>
      </filters>
    </filterColumn>
  </autoFilter>
  <sortState xmlns:xlrd2="http://schemas.microsoft.com/office/spreadsheetml/2017/richdata2" ref="A3:G45">
    <sortCondition ref="B1:B46"/>
  </sortState>
  <tableColumns count="7">
    <tableColumn id="1" xr3:uid="{09A8E54D-EEDA-423A-8A4D-9A7BE6A7FB1F}" name="NATUREZA" dataDxfId="5" dataCellStyle="Normal 2"/>
    <tableColumn id="2" xr3:uid="{091F0F81-186F-4F99-922D-CE28EB7C1A68}" name="DESCRIÇÃO" dataDxfId="4" dataCellStyle="Normal 2"/>
    <tableColumn id="3" xr3:uid="{DFF43296-81A9-4C0D-87DA-2BCC73AE25F8}" name="SETOR" dataDxfId="3" dataCellStyle="Normal 2"/>
    <tableColumn id="4" xr3:uid="{93E20763-8E90-4956-809B-9CEFB6258872}" name="TIPO" dataDxfId="2" dataCellStyle="Normal 2"/>
    <tableColumn id="5" xr3:uid="{F5D41185-228B-43C4-A7B2-4391404DC6BE}" name="COMPORTAMENTO CAIXA" dataDxfId="1" dataCellStyle="Normal 2"/>
    <tableColumn id="6" xr3:uid="{AFF476FA-23FA-438E-99CF-9BA8B6C7CCA4}" name="CATEGORIA" dataDxfId="0" dataCellStyle="Normal 2"/>
    <tableColumn id="7" xr3:uid="{CEBA37CB-AAFB-46E4-9B72-E06F9FF0A953}" name="CATEGORIA FLUXO DE CAIX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topLeftCell="K17" workbookViewId="0">
      <selection activeCell="Y43" sqref="Y43"/>
    </sheetView>
  </sheetViews>
  <sheetFormatPr defaultRowHeight="15" x14ac:dyDescent="0.25"/>
  <cols>
    <col min="2" max="2" width="6" customWidth="1"/>
    <col min="3" max="3" width="12.85546875" bestFit="1" customWidth="1"/>
    <col min="4" max="4" width="6.5703125" customWidth="1"/>
    <col min="5" max="5" width="6" customWidth="1"/>
    <col min="6" max="6" width="9.85546875" customWidth="1"/>
    <col min="7" max="7" width="27.140625" bestFit="1" customWidth="1"/>
    <col min="8" max="8" width="12" customWidth="1"/>
    <col min="9" max="9" width="12.7109375" bestFit="1" customWidth="1"/>
    <col min="10" max="10" width="57.5703125" bestFit="1" customWidth="1"/>
    <col min="11" max="11" width="15.85546875" bestFit="1" customWidth="1"/>
    <col min="12" max="12" width="18.85546875" bestFit="1" customWidth="1"/>
    <col min="13" max="13" width="12" customWidth="1"/>
    <col min="14" max="14" width="16.28515625" customWidth="1"/>
    <col min="15" max="15" width="13.85546875" customWidth="1"/>
    <col min="16" max="16" width="10.85546875" customWidth="1"/>
    <col min="17" max="17" width="14.85546875" customWidth="1"/>
    <col min="18" max="18" width="18.85546875" style="5" bestFit="1" customWidth="1"/>
    <col min="19" max="19" width="7.140625" customWidth="1"/>
    <col min="20" max="20" width="12.7109375" bestFit="1" customWidth="1"/>
    <col min="21" max="21" width="6.85546875" customWidth="1"/>
    <col min="22" max="22" width="7.42578125" customWidth="1"/>
    <col min="23" max="23" width="15" customWidth="1"/>
    <col min="24" max="24" width="11.42578125" customWidth="1"/>
    <col min="25" max="25" width="16.140625" customWidth="1"/>
    <col min="26" max="26" width="12.140625" bestFit="1" customWidth="1"/>
    <col min="27" max="27" width="35.28515625" bestFit="1" customWidth="1"/>
  </cols>
  <sheetData>
    <row r="1" spans="1:28" ht="15.75" x14ac:dyDescent="0.25">
      <c r="A1" t="s">
        <v>489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403</v>
      </c>
      <c r="AA1" s="15" t="s">
        <v>430</v>
      </c>
      <c r="AB1" s="1" t="s">
        <v>490</v>
      </c>
    </row>
    <row r="2" spans="1:28" ht="15.75" x14ac:dyDescent="0.25">
      <c r="A2">
        <f>IF(Tabela1[[#This Row],[Natureza]]&lt;&gt;"",ROW(Tabela1[[#This Row],[Natureza]])-1)</f>
        <v>1</v>
      </c>
      <c r="B2" s="1"/>
      <c r="C2" s="1"/>
      <c r="D2" s="1"/>
      <c r="E2" s="1"/>
      <c r="F2" s="1"/>
      <c r="G2" s="1" t="s">
        <v>483</v>
      </c>
      <c r="H2" s="8" t="s">
        <v>102</v>
      </c>
      <c r="I2" s="2"/>
      <c r="J2" s="1" t="s">
        <v>25</v>
      </c>
      <c r="K2" s="2">
        <v>46233</v>
      </c>
      <c r="L2" s="3">
        <v>10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4">
        <v>10</v>
      </c>
      <c r="S2" s="1" t="s">
        <v>26</v>
      </c>
      <c r="T2" s="2">
        <v>46233</v>
      </c>
      <c r="U2" s="1" t="s">
        <v>27</v>
      </c>
      <c r="V2" s="1" t="s">
        <v>28</v>
      </c>
      <c r="W2" s="1"/>
      <c r="X2" s="1" t="s">
        <v>29</v>
      </c>
      <c r="Y2" s="1" t="s">
        <v>30</v>
      </c>
      <c r="Z2" s="1" t="s">
        <v>405</v>
      </c>
      <c r="AA2" s="1" t="str">
        <f>IFERROR(VLOOKUP(Tabela1[[#This Row],[Natureza]],Tabela4[[#All],[NATUREZA]:[CATEGORIA]],6,FALSE),"")</f>
        <v>Reembolso/Prestação de Contas</v>
      </c>
      <c r="AB2" s="1"/>
    </row>
    <row r="3" spans="1:28" ht="15.75" x14ac:dyDescent="0.25">
      <c r="A3">
        <f>IF(Tabela1[[#This Row],[Natureza]]&lt;&gt;"",ROW(Tabela1[[#This Row],[Natureza]])-1)</f>
        <v>2</v>
      </c>
      <c r="B3" s="1" t="s">
        <v>34</v>
      </c>
      <c r="C3" s="1" t="s">
        <v>35</v>
      </c>
      <c r="D3" s="1"/>
      <c r="E3" s="1" t="s">
        <v>36</v>
      </c>
      <c r="F3" s="1" t="s">
        <v>37</v>
      </c>
      <c r="G3" s="1" t="s">
        <v>38</v>
      </c>
      <c r="H3" s="1" t="s">
        <v>39</v>
      </c>
      <c r="I3" s="2">
        <v>46234</v>
      </c>
      <c r="J3" s="1" t="s">
        <v>40</v>
      </c>
      <c r="K3" s="2">
        <v>46234</v>
      </c>
      <c r="L3" s="3">
        <v>135031087.22999999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4">
        <v>135031087.22999999</v>
      </c>
      <c r="S3" s="1" t="s">
        <v>26</v>
      </c>
      <c r="T3" s="2">
        <v>46234</v>
      </c>
      <c r="U3" s="1" t="s">
        <v>27</v>
      </c>
      <c r="V3" s="1" t="s">
        <v>28</v>
      </c>
      <c r="W3" s="1"/>
      <c r="X3" s="1" t="s">
        <v>29</v>
      </c>
      <c r="Y3" s="1" t="s">
        <v>30</v>
      </c>
      <c r="Z3" s="1" t="s">
        <v>405</v>
      </c>
      <c r="AA3" s="1" t="str">
        <f>IFERROR(VLOOKUP(Tabela1[[#This Row],[Natureza]],Tabela4[[#All],[NATUREZA]:[CATEGORIA]],6,FALSE),"")</f>
        <v>Entrada</v>
      </c>
      <c r="AB3" s="1"/>
    </row>
    <row r="4" spans="1:28" ht="15.75" x14ac:dyDescent="0.25">
      <c r="A4">
        <f>IF(Tabela1[[#This Row],[Natureza]]&lt;&gt;"",ROW(Tabela1[[#This Row],[Natureza]])-1)</f>
        <v>3</v>
      </c>
      <c r="B4" s="1"/>
      <c r="C4" s="1"/>
      <c r="D4" s="1"/>
      <c r="E4" s="1"/>
      <c r="F4" s="1"/>
      <c r="G4" s="1"/>
      <c r="H4" s="12" t="s">
        <v>477</v>
      </c>
      <c r="I4" s="2"/>
      <c r="J4" s="1" t="s">
        <v>467</v>
      </c>
      <c r="K4" s="2">
        <v>46237</v>
      </c>
      <c r="L4" s="10">
        <v>27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4">
        <v>27</v>
      </c>
      <c r="S4" s="1" t="s">
        <v>26</v>
      </c>
      <c r="T4" s="2">
        <v>46237</v>
      </c>
      <c r="U4" s="1" t="s">
        <v>27</v>
      </c>
      <c r="V4" s="1" t="s">
        <v>28</v>
      </c>
      <c r="W4" s="1"/>
      <c r="X4" s="1" t="s">
        <v>29</v>
      </c>
      <c r="Y4" s="1" t="s">
        <v>30</v>
      </c>
      <c r="Z4" s="1" t="s">
        <v>405</v>
      </c>
      <c r="AA4" s="1" t="str">
        <f>IFERROR(VLOOKUP(Tabela1[[#This Row],[Natureza]],Tabela4[[#All],[NATUREZA]:[CATEGORIA]],6,FALSE),"")</f>
        <v>COMPROMISSADA</v>
      </c>
      <c r="AB4" s="1"/>
    </row>
    <row r="5" spans="1:28" ht="15.75" x14ac:dyDescent="0.25">
      <c r="A5">
        <f>IF(Tabela1[[#This Row],[Natureza]]&lt;&gt;"",ROW(Tabela1[[#This Row],[Natureza]])-1)</f>
        <v>4</v>
      </c>
      <c r="B5" s="1"/>
      <c r="C5" s="1"/>
      <c r="D5" s="1"/>
      <c r="E5" s="1"/>
      <c r="F5" s="1"/>
      <c r="G5" s="1"/>
      <c r="H5" s="12" t="s">
        <v>477</v>
      </c>
      <c r="I5" s="2"/>
      <c r="J5" s="1" t="s">
        <v>467</v>
      </c>
      <c r="K5" s="2">
        <v>46244</v>
      </c>
      <c r="L5" s="3">
        <v>70611.69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4">
        <v>70611.69</v>
      </c>
      <c r="S5" s="1" t="s">
        <v>26</v>
      </c>
      <c r="T5" s="2">
        <v>46244</v>
      </c>
      <c r="U5" s="1" t="s">
        <v>27</v>
      </c>
      <c r="V5" s="1" t="s">
        <v>28</v>
      </c>
      <c r="W5" s="1"/>
      <c r="X5" s="1" t="s">
        <v>29</v>
      </c>
      <c r="Y5" s="1" t="s">
        <v>30</v>
      </c>
      <c r="Z5" s="1" t="s">
        <v>405</v>
      </c>
      <c r="AA5" s="1" t="str">
        <f>IFERROR(VLOOKUP(Tabela1[[#This Row],[Natureza]],Tabela4[[#All],[NATUREZA]:[CATEGORIA]],6,FALSE),"")</f>
        <v>COMPROMISSADA</v>
      </c>
      <c r="AB5" s="1"/>
    </row>
    <row r="6" spans="1:28" ht="15.75" x14ac:dyDescent="0.25">
      <c r="A6">
        <f>IF(Tabela1[[#This Row],[Natureza]]&lt;&gt;"",ROW(Tabela1[[#This Row],[Natureza]])-1)</f>
        <v>5</v>
      </c>
      <c r="B6" s="1"/>
      <c r="C6" s="1"/>
      <c r="D6" s="1"/>
      <c r="E6" s="1"/>
      <c r="F6" s="1"/>
      <c r="G6" s="1"/>
      <c r="H6" s="12" t="s">
        <v>476</v>
      </c>
      <c r="I6" s="2"/>
      <c r="J6" s="1" t="s">
        <v>462</v>
      </c>
      <c r="K6" s="2">
        <v>46245</v>
      </c>
      <c r="L6" s="10">
        <v>2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4">
        <v>2</v>
      </c>
      <c r="S6" s="1" t="s">
        <v>26</v>
      </c>
      <c r="T6" s="2">
        <v>46245</v>
      </c>
      <c r="U6" s="1" t="s">
        <v>27</v>
      </c>
      <c r="V6" s="1" t="s">
        <v>28</v>
      </c>
      <c r="W6" s="1"/>
      <c r="X6" s="1" t="s">
        <v>29</v>
      </c>
      <c r="Y6" s="1" t="s">
        <v>30</v>
      </c>
      <c r="Z6" s="1" t="s">
        <v>405</v>
      </c>
      <c r="AA6" s="1" t="str">
        <f>IFERROR(VLOOKUP(Tabela1[[#This Row],[Natureza]],Tabela4[[#All],[NATUREZA]:[CATEGORIA]],6,FALSE),"")</f>
        <v>CONTAMAX</v>
      </c>
      <c r="AB6" s="1"/>
    </row>
    <row r="7" spans="1:28" ht="15.75" x14ac:dyDescent="0.25">
      <c r="A7">
        <f>IF(Tabela1[[#This Row],[Natureza]]&lt;&gt;"",ROW(Tabela1[[#This Row],[Natureza]])-1)</f>
        <v>6</v>
      </c>
      <c r="B7" s="1"/>
      <c r="C7" s="1"/>
      <c r="D7" s="1"/>
      <c r="E7" s="1"/>
      <c r="F7" s="1"/>
      <c r="G7" s="1"/>
      <c r="H7" s="12" t="s">
        <v>477</v>
      </c>
      <c r="I7" s="2"/>
      <c r="J7" s="1" t="s">
        <v>467</v>
      </c>
      <c r="K7" s="2">
        <v>46251</v>
      </c>
      <c r="L7" s="10">
        <v>104570.85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4">
        <v>104570.85</v>
      </c>
      <c r="S7" s="1" t="s">
        <v>26</v>
      </c>
      <c r="T7" s="2">
        <v>46251</v>
      </c>
      <c r="U7" s="1" t="s">
        <v>27</v>
      </c>
      <c r="V7" s="1" t="s">
        <v>28</v>
      </c>
      <c r="W7" s="1"/>
      <c r="X7" s="1" t="s">
        <v>29</v>
      </c>
      <c r="Y7" s="1" t="s">
        <v>30</v>
      </c>
      <c r="Z7" s="1" t="s">
        <v>405</v>
      </c>
      <c r="AA7" s="1" t="str">
        <f>IFERROR(VLOOKUP(Tabela1[[#This Row],[Natureza]],Tabela4[[#All],[NATUREZA]:[CATEGORIA]],6,FALSE),"")</f>
        <v>COMPROMISSADA</v>
      </c>
      <c r="AB7" s="1"/>
    </row>
    <row r="8" spans="1:28" ht="15.75" x14ac:dyDescent="0.25">
      <c r="A8">
        <f>IF(Tabela1[[#This Row],[Natureza]]&lt;&gt;"",ROW(Tabela1[[#This Row],[Natureza]])-1)</f>
        <v>7</v>
      </c>
      <c r="B8" s="1"/>
      <c r="C8" s="1"/>
      <c r="D8" s="1"/>
      <c r="E8" s="1"/>
      <c r="F8" s="1"/>
      <c r="G8" s="1"/>
      <c r="H8" s="12" t="s">
        <v>476</v>
      </c>
      <c r="I8" s="2"/>
      <c r="J8" s="1" t="s">
        <v>462</v>
      </c>
      <c r="K8" s="2">
        <v>46253</v>
      </c>
      <c r="L8" s="10">
        <v>100011.95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4">
        <v>100011.95</v>
      </c>
      <c r="S8" s="1" t="s">
        <v>26</v>
      </c>
      <c r="T8" s="2">
        <v>46253</v>
      </c>
      <c r="U8" s="1" t="s">
        <v>27</v>
      </c>
      <c r="V8" s="1" t="s">
        <v>28</v>
      </c>
      <c r="W8" s="1"/>
      <c r="X8" s="1" t="s">
        <v>29</v>
      </c>
      <c r="Y8" s="1" t="s">
        <v>30</v>
      </c>
      <c r="Z8" s="1" t="s">
        <v>405</v>
      </c>
      <c r="AA8" s="1" t="str">
        <f>IFERROR(VLOOKUP(Tabela1[[#This Row],[Natureza]],Tabela4[[#All],[NATUREZA]:[CATEGORIA]],6,FALSE),"")</f>
        <v>CONTAMAX</v>
      </c>
      <c r="AB8" s="1"/>
    </row>
    <row r="9" spans="1:28" ht="15.75" x14ac:dyDescent="0.25">
      <c r="A9">
        <f>IF(Tabela1[[#This Row],[Natureza]]&lt;&gt;"",ROW(Tabela1[[#This Row],[Natureza]])-1)</f>
        <v>8</v>
      </c>
      <c r="B9" s="1"/>
      <c r="C9" s="1"/>
      <c r="D9" s="1"/>
      <c r="E9" s="1"/>
      <c r="F9" s="1"/>
      <c r="G9" s="1"/>
      <c r="H9" s="12" t="s">
        <v>477</v>
      </c>
      <c r="I9" s="2"/>
      <c r="J9" s="1" t="s">
        <v>467</v>
      </c>
      <c r="K9" s="2">
        <v>46253</v>
      </c>
      <c r="L9" s="10">
        <v>10259.450000000001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4">
        <v>10259.450000000001</v>
      </c>
      <c r="S9" s="1" t="s">
        <v>26</v>
      </c>
      <c r="T9" s="2">
        <v>46253</v>
      </c>
      <c r="U9" s="1" t="s">
        <v>27</v>
      </c>
      <c r="V9" s="1" t="s">
        <v>28</v>
      </c>
      <c r="W9" s="1"/>
      <c r="X9" s="1" t="s">
        <v>29</v>
      </c>
      <c r="Y9" s="1" t="s">
        <v>30</v>
      </c>
      <c r="Z9" s="1" t="s">
        <v>405</v>
      </c>
      <c r="AA9" s="1" t="str">
        <f>IFERROR(VLOOKUP(Tabela1[[#This Row],[Natureza]],Tabela4[[#All],[NATUREZA]:[CATEGORIA]],6,FALSE),"")</f>
        <v>COMPROMISSADA</v>
      </c>
      <c r="AB9" s="1"/>
    </row>
    <row r="10" spans="1:28" ht="15.75" x14ac:dyDescent="0.25">
      <c r="A10">
        <f>IF(Tabela1[[#This Row],[Natureza]]&lt;&gt;"",ROW(Tabela1[[#This Row],[Natureza]])-1)</f>
        <v>9</v>
      </c>
      <c r="B10" s="1"/>
      <c r="C10" s="1"/>
      <c r="D10" s="1"/>
      <c r="E10" s="1"/>
      <c r="F10" s="1"/>
      <c r="G10" s="1"/>
      <c r="H10" s="12" t="s">
        <v>476</v>
      </c>
      <c r="I10" s="2"/>
      <c r="J10" s="1" t="s">
        <v>462</v>
      </c>
      <c r="K10" s="2">
        <v>46254</v>
      </c>
      <c r="L10" s="10">
        <v>18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4">
        <v>18</v>
      </c>
      <c r="S10" s="1" t="s">
        <v>26</v>
      </c>
      <c r="T10" s="2">
        <v>46254</v>
      </c>
      <c r="U10" s="1" t="s">
        <v>27</v>
      </c>
      <c r="V10" s="1" t="s">
        <v>28</v>
      </c>
      <c r="W10" s="1"/>
      <c r="X10" s="1" t="s">
        <v>29</v>
      </c>
      <c r="Y10" s="1" t="s">
        <v>30</v>
      </c>
      <c r="Z10" s="1" t="s">
        <v>405</v>
      </c>
      <c r="AA10" s="1" t="str">
        <f>IFERROR(VLOOKUP(Tabela1[[#This Row],[Natureza]],Tabela4[[#All],[NATUREZA]:[CATEGORIA]],6,FALSE),"")</f>
        <v>CONTAMAX</v>
      </c>
      <c r="AB10" s="1"/>
    </row>
    <row r="11" spans="1:28" ht="15.75" x14ac:dyDescent="0.25">
      <c r="A11">
        <f>IF(Tabela1[[#This Row],[Natureza]]&lt;&gt;"",ROW(Tabela1[[#This Row],[Natureza]])-1)</f>
        <v>10</v>
      </c>
      <c r="B11" s="1"/>
      <c r="C11" s="1"/>
      <c r="D11" s="1"/>
      <c r="E11" s="1"/>
      <c r="F11" s="1"/>
      <c r="G11" s="1"/>
      <c r="H11" s="12" t="s">
        <v>476</v>
      </c>
      <c r="I11" s="2"/>
      <c r="J11" s="1" t="s">
        <v>462</v>
      </c>
      <c r="K11" s="2">
        <v>46258</v>
      </c>
      <c r="L11" s="10">
        <v>794.89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4">
        <v>794.89</v>
      </c>
      <c r="S11" s="1" t="s">
        <v>26</v>
      </c>
      <c r="T11" s="2">
        <v>46258</v>
      </c>
      <c r="U11" s="1" t="s">
        <v>27</v>
      </c>
      <c r="V11" s="1" t="s">
        <v>28</v>
      </c>
      <c r="W11" s="1"/>
      <c r="X11" s="1" t="s">
        <v>29</v>
      </c>
      <c r="Y11" s="1" t="s">
        <v>30</v>
      </c>
      <c r="Z11" s="1" t="s">
        <v>405</v>
      </c>
      <c r="AA11" s="1" t="str">
        <f>IFERROR(VLOOKUP(Tabela1[[#This Row],[Natureza]],Tabela4[[#All],[NATUREZA]:[CATEGORIA]],6,FALSE),"")</f>
        <v>CONTAMAX</v>
      </c>
      <c r="AB11" s="1"/>
    </row>
    <row r="12" spans="1:28" ht="15.75" x14ac:dyDescent="0.25">
      <c r="A12">
        <f>IF(Tabela1[[#This Row],[Natureza]]&lt;&gt;"",ROW(Tabela1[[#This Row],[Natureza]])-1)</f>
        <v>11</v>
      </c>
      <c r="B12" s="1"/>
      <c r="C12" s="1"/>
      <c r="D12" s="1"/>
      <c r="E12" s="1"/>
      <c r="F12" s="1"/>
      <c r="G12" s="1"/>
      <c r="H12" s="12" t="s">
        <v>477</v>
      </c>
      <c r="I12" s="2"/>
      <c r="J12" s="1" t="s">
        <v>467</v>
      </c>
      <c r="K12" s="2">
        <v>46258</v>
      </c>
      <c r="L12" s="10">
        <v>20541.11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4">
        <v>20541.11</v>
      </c>
      <c r="S12" s="1" t="s">
        <v>26</v>
      </c>
      <c r="T12" s="2">
        <v>46258</v>
      </c>
      <c r="U12" s="1" t="s">
        <v>27</v>
      </c>
      <c r="V12" s="1" t="s">
        <v>28</v>
      </c>
      <c r="W12" s="1"/>
      <c r="X12" s="1" t="s">
        <v>29</v>
      </c>
      <c r="Y12" s="1" t="s">
        <v>30</v>
      </c>
      <c r="Z12" s="1" t="s">
        <v>405</v>
      </c>
      <c r="AA12" s="1" t="str">
        <f>IFERROR(VLOOKUP(Tabela1[[#This Row],[Natureza]],Tabela4[[#All],[NATUREZA]:[CATEGORIA]],6,FALSE),"")</f>
        <v>COMPROMISSADA</v>
      </c>
      <c r="AB12" s="1"/>
    </row>
    <row r="13" spans="1:28" ht="15.75" x14ac:dyDescent="0.25">
      <c r="A13">
        <f>IF(Tabela1[[#This Row],[Natureza]]&lt;&gt;"",ROW(Tabela1[[#This Row],[Natureza]])-1)</f>
        <v>12</v>
      </c>
      <c r="B13" s="1"/>
      <c r="C13" s="1"/>
      <c r="D13" s="1"/>
      <c r="E13" s="1"/>
      <c r="F13" s="1"/>
      <c r="G13" s="1"/>
      <c r="H13" s="12" t="s">
        <v>476</v>
      </c>
      <c r="I13" s="2"/>
      <c r="J13" s="1" t="s">
        <v>462</v>
      </c>
      <c r="K13" s="2">
        <v>46259</v>
      </c>
      <c r="L13" s="10">
        <v>9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4">
        <v>9</v>
      </c>
      <c r="S13" s="1" t="s">
        <v>26</v>
      </c>
      <c r="T13" s="2">
        <v>46259</v>
      </c>
      <c r="U13" s="1" t="s">
        <v>27</v>
      </c>
      <c r="V13" s="1" t="s">
        <v>28</v>
      </c>
      <c r="W13" s="1"/>
      <c r="X13" s="1" t="s">
        <v>29</v>
      </c>
      <c r="Y13" s="1" t="s">
        <v>30</v>
      </c>
      <c r="Z13" s="1" t="s">
        <v>405</v>
      </c>
      <c r="AA13" s="1" t="str">
        <f>IFERROR(VLOOKUP(Tabela1[[#This Row],[Natureza]],Tabela4[[#All],[NATUREZA]:[CATEGORIA]],6,FALSE),"")</f>
        <v>CONTAMAX</v>
      </c>
      <c r="AB13" s="1"/>
    </row>
    <row r="14" spans="1:28" ht="15.75" x14ac:dyDescent="0.25">
      <c r="A14">
        <f>IF(Tabela1[[#This Row],[Natureza]]&lt;&gt;"",ROW(Tabela1[[#This Row],[Natureza]])-1)</f>
        <v>13</v>
      </c>
      <c r="B14" s="1"/>
      <c r="C14" s="1"/>
      <c r="D14" s="1"/>
      <c r="E14" s="1"/>
      <c r="F14" s="1"/>
      <c r="G14" s="1"/>
      <c r="H14" s="12" t="s">
        <v>477</v>
      </c>
      <c r="I14" s="2"/>
      <c r="J14" s="1" t="s">
        <v>467</v>
      </c>
      <c r="K14" s="2">
        <v>46260</v>
      </c>
      <c r="L14" s="10">
        <v>85307.14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4">
        <v>85307.14</v>
      </c>
      <c r="S14" s="1" t="s">
        <v>26</v>
      </c>
      <c r="T14" s="2">
        <v>46260</v>
      </c>
      <c r="U14" s="1" t="s">
        <v>27</v>
      </c>
      <c r="V14" s="1" t="s">
        <v>28</v>
      </c>
      <c r="W14" s="1"/>
      <c r="X14" s="1" t="s">
        <v>29</v>
      </c>
      <c r="Y14" s="1" t="s">
        <v>30</v>
      </c>
      <c r="Z14" s="1" t="s">
        <v>405</v>
      </c>
      <c r="AA14" s="1" t="str">
        <f>IFERROR(VLOOKUP(Tabela1[[#This Row],[Natureza]],Tabela4[[#All],[NATUREZA]:[CATEGORIA]],6,FALSE),"")</f>
        <v>COMPROMISSADA</v>
      </c>
      <c r="AB14" s="1"/>
    </row>
    <row r="15" spans="1:28" ht="15.75" x14ac:dyDescent="0.25">
      <c r="A15">
        <f>IF(Tabela1[[#This Row],[Natureza]]&lt;&gt;"",ROW(Tabela1[[#This Row],[Natureza]])-1)</f>
        <v>14</v>
      </c>
      <c r="B15" s="1"/>
      <c r="C15" s="1"/>
      <c r="D15" s="1"/>
      <c r="E15" s="1"/>
      <c r="F15" s="1"/>
      <c r="G15" s="1"/>
      <c r="H15" s="12" t="s">
        <v>476</v>
      </c>
      <c r="I15" s="2"/>
      <c r="J15" s="1" t="s">
        <v>462</v>
      </c>
      <c r="K15" s="2">
        <v>46261</v>
      </c>
      <c r="L15" s="10">
        <v>68332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4">
        <v>68332</v>
      </c>
      <c r="S15" s="1" t="s">
        <v>26</v>
      </c>
      <c r="T15" s="2">
        <v>46261</v>
      </c>
      <c r="U15" s="1" t="s">
        <v>27</v>
      </c>
      <c r="V15" s="1" t="s">
        <v>28</v>
      </c>
      <c r="W15" s="1"/>
      <c r="X15" s="1" t="s">
        <v>29</v>
      </c>
      <c r="Y15" s="1" t="s">
        <v>30</v>
      </c>
      <c r="Z15" s="1" t="s">
        <v>405</v>
      </c>
      <c r="AA15" s="1" t="str">
        <f>IFERROR(VLOOKUP(Tabela1[[#This Row],[Natureza]],Tabela4[[#All],[NATUREZA]:[CATEGORIA]],6,FALSE),"")</f>
        <v>CONTAMAX</v>
      </c>
      <c r="AB15" s="1"/>
    </row>
    <row r="16" spans="1:28" ht="15.75" x14ac:dyDescent="0.25">
      <c r="A16">
        <f>IF(Tabela1[[#This Row],[Natureza]]&lt;&gt;"",ROW(Tabela1[[#This Row],[Natureza]])-1)</f>
        <v>15</v>
      </c>
      <c r="B16" s="1"/>
      <c r="C16" s="1"/>
      <c r="D16" s="1"/>
      <c r="E16" s="1"/>
      <c r="F16" s="1"/>
      <c r="G16" s="1"/>
      <c r="H16" s="12" t="s">
        <v>476</v>
      </c>
      <c r="I16" s="2"/>
      <c r="J16" s="1" t="s">
        <v>462</v>
      </c>
      <c r="K16" s="2">
        <v>46262</v>
      </c>
      <c r="L16" s="10">
        <v>29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4">
        <v>29</v>
      </c>
      <c r="S16" s="1" t="s">
        <v>26</v>
      </c>
      <c r="T16" s="2">
        <v>46262</v>
      </c>
      <c r="U16" s="1" t="s">
        <v>27</v>
      </c>
      <c r="V16" s="1" t="s">
        <v>28</v>
      </c>
      <c r="W16" s="1"/>
      <c r="X16" s="1" t="s">
        <v>29</v>
      </c>
      <c r="Y16" s="1" t="s">
        <v>30</v>
      </c>
      <c r="Z16" s="1" t="s">
        <v>405</v>
      </c>
      <c r="AA16" s="1" t="str">
        <f>IFERROR(VLOOKUP(Tabela1[[#This Row],[Natureza]],Tabela4[[#All],[NATUREZA]:[CATEGORIA]],6,FALSE),"")</f>
        <v>CONTAMAX</v>
      </c>
      <c r="AB16" s="1"/>
    </row>
    <row r="17" spans="1:28" ht="15.75" x14ac:dyDescent="0.25">
      <c r="A17">
        <f>IF(Tabela1[[#This Row],[Natureza]]&lt;&gt;"",ROW(Tabela1[[#This Row],[Natureza]])-1)</f>
        <v>16</v>
      </c>
      <c r="B17" s="1"/>
      <c r="C17" s="1"/>
      <c r="D17" s="1"/>
      <c r="E17" s="1"/>
      <c r="F17" s="1"/>
      <c r="G17" s="1"/>
      <c r="H17" s="12" t="s">
        <v>476</v>
      </c>
      <c r="I17" s="2"/>
      <c r="J17" s="1" t="s">
        <v>462</v>
      </c>
      <c r="K17" s="2">
        <v>46265</v>
      </c>
      <c r="L17" s="10">
        <v>15691.4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4">
        <v>15691.4</v>
      </c>
      <c r="S17" s="1" t="s">
        <v>26</v>
      </c>
      <c r="T17" s="2">
        <v>46265</v>
      </c>
      <c r="U17" s="1" t="s">
        <v>27</v>
      </c>
      <c r="V17" s="1" t="s">
        <v>28</v>
      </c>
      <c r="W17" s="1"/>
      <c r="X17" s="1" t="s">
        <v>29</v>
      </c>
      <c r="Y17" s="1" t="s">
        <v>30</v>
      </c>
      <c r="Z17" s="1" t="s">
        <v>405</v>
      </c>
      <c r="AA17" s="1" t="str">
        <f>IFERROR(VLOOKUP(Tabela1[[#This Row],[Natureza]],Tabela4[[#All],[NATUREZA]:[CATEGORIA]],6,FALSE),"")</f>
        <v>CONTAMAX</v>
      </c>
      <c r="AB17" s="1"/>
    </row>
    <row r="18" spans="1:28" ht="15.75" x14ac:dyDescent="0.25">
      <c r="A18">
        <f>IF(Tabela1[[#This Row],[Natureza]]&lt;&gt;"",ROW(Tabela1[[#This Row],[Natureza]])-1)</f>
        <v>17</v>
      </c>
      <c r="B18" s="1"/>
      <c r="C18" s="1"/>
      <c r="D18" s="1"/>
      <c r="E18" s="1"/>
      <c r="F18" s="1"/>
      <c r="G18" s="1"/>
      <c r="H18" s="12" t="s">
        <v>478</v>
      </c>
      <c r="I18" s="2"/>
      <c r="J18" s="1" t="s">
        <v>468</v>
      </c>
      <c r="K18" s="2">
        <v>46265</v>
      </c>
      <c r="L18" s="10">
        <v>29952615.289999999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4">
        <v>29952615.289999999</v>
      </c>
      <c r="S18" s="1" t="s">
        <v>26</v>
      </c>
      <c r="T18" s="2">
        <v>46265</v>
      </c>
      <c r="U18" s="1" t="s">
        <v>27</v>
      </c>
      <c r="V18" s="1" t="s">
        <v>28</v>
      </c>
      <c r="W18" s="1"/>
      <c r="X18" s="1" t="s">
        <v>29</v>
      </c>
      <c r="Y18" s="1" t="s">
        <v>30</v>
      </c>
      <c r="Z18" s="1" t="s">
        <v>405</v>
      </c>
      <c r="AA18" s="1" t="str">
        <f>IFERROR(VLOOKUP(Tabela1[[#This Row],[Natureza]],Tabela4[[#All],[NATUREZA]:[CATEGORIA]],6,FALSE),"")</f>
        <v>COMPROMISSADA</v>
      </c>
      <c r="AB18" s="1"/>
    </row>
    <row r="19" spans="1:28" ht="15.75" x14ac:dyDescent="0.25">
      <c r="A19">
        <f>IF(Tabela1[[#This Row],[Natureza]]&lt;&gt;"",ROW(Tabela1[[#This Row],[Natureza]])-1)</f>
        <v>18</v>
      </c>
      <c r="B19" s="1"/>
      <c r="C19" s="1"/>
      <c r="D19" s="1"/>
      <c r="E19" s="1"/>
      <c r="F19" s="1"/>
      <c r="G19" s="1"/>
      <c r="H19" s="12" t="s">
        <v>476</v>
      </c>
      <c r="I19" s="2"/>
      <c r="J19" s="1" t="s">
        <v>462</v>
      </c>
      <c r="K19" s="2">
        <v>46266</v>
      </c>
      <c r="L19" s="3">
        <v>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4">
        <v>8</v>
      </c>
      <c r="S19" s="1" t="s">
        <v>26</v>
      </c>
      <c r="T19" s="2">
        <v>46266</v>
      </c>
      <c r="U19" s="1" t="s">
        <v>27</v>
      </c>
      <c r="V19" s="1" t="s">
        <v>28</v>
      </c>
      <c r="W19" s="1"/>
      <c r="X19" s="1" t="s">
        <v>29</v>
      </c>
      <c r="Y19" s="1" t="s">
        <v>30</v>
      </c>
      <c r="Z19" s="1" t="s">
        <v>405</v>
      </c>
      <c r="AA19" s="1" t="str">
        <f>IFERROR(VLOOKUP(Tabela1[[#This Row],[Natureza]],Tabela4[[#All],[NATUREZA]:[CATEGORIA]],6,FALSE),"")</f>
        <v>CONTAMAX</v>
      </c>
      <c r="AB19" s="1"/>
    </row>
    <row r="20" spans="1:28" ht="15.75" x14ac:dyDescent="0.25">
      <c r="A20">
        <f>IF(Tabela1[[#This Row],[Natureza]]&lt;&gt;"",ROW(Tabela1[[#This Row],[Natureza]])-1)</f>
        <v>19</v>
      </c>
      <c r="B20" s="1"/>
      <c r="C20" s="1"/>
      <c r="D20" s="1"/>
      <c r="E20" s="1"/>
      <c r="F20" s="1"/>
      <c r="G20" s="1"/>
      <c r="H20" s="12" t="s">
        <v>477</v>
      </c>
      <c r="I20" s="2"/>
      <c r="J20" s="1" t="s">
        <v>467</v>
      </c>
      <c r="K20" s="2">
        <v>46267</v>
      </c>
      <c r="L20" s="3">
        <v>133065.84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4">
        <v>133065.84</v>
      </c>
      <c r="S20" s="1" t="s">
        <v>26</v>
      </c>
      <c r="T20" s="2">
        <v>46267</v>
      </c>
      <c r="U20" s="1" t="s">
        <v>27</v>
      </c>
      <c r="V20" s="1" t="s">
        <v>28</v>
      </c>
      <c r="W20" s="1"/>
      <c r="X20" s="1" t="s">
        <v>29</v>
      </c>
      <c r="Y20" s="1" t="s">
        <v>30</v>
      </c>
      <c r="Z20" s="1" t="s">
        <v>405</v>
      </c>
      <c r="AA20" s="1" t="str">
        <f>IFERROR(VLOOKUP(Tabela1[[#This Row],[Natureza]],Tabela4[[#All],[NATUREZA]:[CATEGORIA]],6,FALSE),"")</f>
        <v>COMPROMISSADA</v>
      </c>
      <c r="AB20" s="1"/>
    </row>
    <row r="21" spans="1:28" ht="15.75" x14ac:dyDescent="0.25">
      <c r="A21">
        <f>IF(Tabela1[[#This Row],[Natureza]]&lt;&gt;"",ROW(Tabela1[[#This Row],[Natureza]])-1)</f>
        <v>20</v>
      </c>
      <c r="B21" s="1"/>
      <c r="C21" s="1"/>
      <c r="D21" s="1"/>
      <c r="E21" s="1"/>
      <c r="F21" s="1"/>
      <c r="G21" s="1"/>
      <c r="H21" s="12" t="s">
        <v>476</v>
      </c>
      <c r="I21" s="2"/>
      <c r="J21" s="1" t="s">
        <v>462</v>
      </c>
      <c r="K21" s="2">
        <v>46268</v>
      </c>
      <c r="L21" s="3">
        <v>4.5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4">
        <v>4.5</v>
      </c>
      <c r="S21" s="1" t="s">
        <v>26</v>
      </c>
      <c r="T21" s="2">
        <v>46268</v>
      </c>
      <c r="U21" s="1" t="s">
        <v>27</v>
      </c>
      <c r="V21" s="1" t="s">
        <v>28</v>
      </c>
      <c r="W21" s="1"/>
      <c r="X21" s="1" t="s">
        <v>29</v>
      </c>
      <c r="Y21" s="1" t="s">
        <v>30</v>
      </c>
      <c r="Z21" s="1" t="s">
        <v>405</v>
      </c>
      <c r="AA21" s="1" t="str">
        <f>IFERROR(VLOOKUP(Tabela1[[#This Row],[Natureza]],Tabela4[[#All],[NATUREZA]:[CATEGORIA]],6,FALSE),"")</f>
        <v>CONTAMAX</v>
      </c>
      <c r="AB21" s="1"/>
    </row>
    <row r="22" spans="1:28" ht="15.75" x14ac:dyDescent="0.25">
      <c r="A22">
        <f>IF(Tabela1[[#This Row],[Natureza]]&lt;&gt;"",ROW(Tabela1[[#This Row],[Natureza]])-1)</f>
        <v>21</v>
      </c>
      <c r="B22" s="1"/>
      <c r="C22" s="1"/>
      <c r="D22" s="1"/>
      <c r="E22" s="1"/>
      <c r="F22" s="1"/>
      <c r="G22" s="1"/>
      <c r="H22" s="12" t="s">
        <v>476</v>
      </c>
      <c r="I22" s="2"/>
      <c r="J22" s="1" t="s">
        <v>462</v>
      </c>
      <c r="K22" s="2">
        <v>46269</v>
      </c>
      <c r="L22" s="3">
        <v>69211.42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4">
        <v>69211.42</v>
      </c>
      <c r="S22" s="1" t="s">
        <v>26</v>
      </c>
      <c r="T22" s="2">
        <v>46269</v>
      </c>
      <c r="U22" s="1" t="s">
        <v>27</v>
      </c>
      <c r="V22" s="1" t="s">
        <v>28</v>
      </c>
      <c r="W22" s="1"/>
      <c r="X22" s="1" t="s">
        <v>29</v>
      </c>
      <c r="Y22" s="1" t="s">
        <v>30</v>
      </c>
      <c r="Z22" s="1" t="s">
        <v>405</v>
      </c>
      <c r="AA22" s="1" t="str">
        <f>IFERROR(VLOOKUP(Tabela1[[#This Row],[Natureza]],Tabela4[[#All],[NATUREZA]:[CATEGORIA]],6,FALSE),"")</f>
        <v>CONTAMAX</v>
      </c>
      <c r="AB22" s="1"/>
    </row>
    <row r="23" spans="1:28" ht="15.75" x14ac:dyDescent="0.25">
      <c r="A23">
        <f>IF(Tabela1[[#This Row],[Natureza]]&lt;&gt;"",ROW(Tabela1[[#This Row],[Natureza]])-1)</f>
        <v>22</v>
      </c>
      <c r="B23" s="1"/>
      <c r="C23" s="1"/>
      <c r="D23" s="1"/>
      <c r="E23" s="1"/>
      <c r="F23" s="1"/>
      <c r="G23" s="1"/>
      <c r="H23" s="12" t="s">
        <v>476</v>
      </c>
      <c r="I23" s="2"/>
      <c r="J23" s="1" t="s">
        <v>462</v>
      </c>
      <c r="K23" s="2">
        <v>46273</v>
      </c>
      <c r="L23" s="3">
        <v>1.5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4">
        <v>1.5</v>
      </c>
      <c r="S23" s="1" t="s">
        <v>26</v>
      </c>
      <c r="T23" s="2">
        <v>46273</v>
      </c>
      <c r="U23" s="1" t="s">
        <v>27</v>
      </c>
      <c r="V23" s="1" t="s">
        <v>28</v>
      </c>
      <c r="W23" s="1"/>
      <c r="X23" s="1" t="s">
        <v>29</v>
      </c>
      <c r="Y23" s="1" t="s">
        <v>30</v>
      </c>
      <c r="Z23" s="1" t="s">
        <v>405</v>
      </c>
      <c r="AA23" s="1" t="str">
        <f>IFERROR(VLOOKUP(Tabela1[[#This Row],[Natureza]],Tabela4[[#All],[NATUREZA]:[CATEGORIA]],6,FALSE),"")</f>
        <v>CONTAMAX</v>
      </c>
      <c r="AB23" s="1"/>
    </row>
    <row r="24" spans="1:28" ht="15.75" x14ac:dyDescent="0.25">
      <c r="A24">
        <f>IF(Tabela1[[#This Row],[Natureza]]&lt;&gt;"",ROW(Tabela1[[#This Row],[Natureza]])-1)</f>
        <v>23</v>
      </c>
      <c r="B24" s="1"/>
      <c r="C24" s="1"/>
      <c r="D24" s="1"/>
      <c r="E24" s="1"/>
      <c r="F24" s="1"/>
      <c r="G24" s="1"/>
      <c r="H24" s="12" t="s">
        <v>477</v>
      </c>
      <c r="I24" s="2"/>
      <c r="J24" s="1" t="s">
        <v>480</v>
      </c>
      <c r="K24" s="2">
        <v>46274</v>
      </c>
      <c r="L24" s="3">
        <v>350085.58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4">
        <v>350085.58</v>
      </c>
      <c r="S24" s="1" t="s">
        <v>26</v>
      </c>
      <c r="T24" s="2">
        <v>46274</v>
      </c>
      <c r="U24" s="1" t="s">
        <v>27</v>
      </c>
      <c r="V24" s="1" t="s">
        <v>28</v>
      </c>
      <c r="W24" s="1"/>
      <c r="X24" s="1" t="s">
        <v>29</v>
      </c>
      <c r="Y24" s="1" t="s">
        <v>30</v>
      </c>
      <c r="Z24" s="1" t="s">
        <v>405</v>
      </c>
      <c r="AA24" s="1" t="str">
        <f>IFERROR(VLOOKUP(Tabela1[[#This Row],[Natureza]],Tabela4[[#All],[NATUREZA]:[CATEGORIA]],6,FALSE),"")</f>
        <v>COMPROMISSADA</v>
      </c>
      <c r="AB24" s="1"/>
    </row>
    <row r="25" spans="1:28" ht="15.75" x14ac:dyDescent="0.25">
      <c r="A25">
        <f>IF(Tabela1[[#This Row],[Natureza]]&lt;&gt;"",ROW(Tabela1[[#This Row],[Natureza]])-1)</f>
        <v>24</v>
      </c>
      <c r="B25" s="1"/>
      <c r="C25" s="1"/>
      <c r="D25" s="1"/>
      <c r="E25" s="1"/>
      <c r="F25" s="1"/>
      <c r="G25" s="1"/>
      <c r="H25" s="12" t="s">
        <v>476</v>
      </c>
      <c r="I25" s="2"/>
      <c r="J25" s="1" t="s">
        <v>462</v>
      </c>
      <c r="K25" s="2">
        <v>46275</v>
      </c>
      <c r="L25" s="3">
        <v>7.5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4">
        <v>7.5</v>
      </c>
      <c r="S25" s="1" t="s">
        <v>26</v>
      </c>
      <c r="T25" s="2">
        <v>46275</v>
      </c>
      <c r="U25" s="1" t="s">
        <v>27</v>
      </c>
      <c r="V25" s="1" t="s">
        <v>28</v>
      </c>
      <c r="W25" s="1"/>
      <c r="X25" s="1" t="s">
        <v>29</v>
      </c>
      <c r="Y25" s="1" t="s">
        <v>30</v>
      </c>
      <c r="Z25" s="1" t="s">
        <v>405</v>
      </c>
      <c r="AA25" s="1" t="str">
        <f>IFERROR(VLOOKUP(Tabela1[[#This Row],[Natureza]],Tabela4[[#All],[NATUREZA]:[CATEGORIA]],6,FALSE),"")</f>
        <v>CONTAMAX</v>
      </c>
      <c r="AB25" s="1"/>
    </row>
    <row r="26" spans="1:28" ht="15.75" x14ac:dyDescent="0.25">
      <c r="A26">
        <f>IF(Tabela1[[#This Row],[Natureza]]&lt;&gt;"",ROW(Tabela1[[#This Row],[Natureza]])-1)</f>
        <v>25</v>
      </c>
      <c r="B26" s="1"/>
      <c r="C26" s="1"/>
      <c r="D26" s="1"/>
      <c r="E26" s="1"/>
      <c r="F26" s="1"/>
      <c r="G26" s="1"/>
      <c r="H26" s="12" t="s">
        <v>477</v>
      </c>
      <c r="I26" s="2"/>
      <c r="J26" s="1" t="s">
        <v>467</v>
      </c>
      <c r="K26" s="2">
        <v>46276</v>
      </c>
      <c r="L26" s="3">
        <v>100083.61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4">
        <v>100083.61</v>
      </c>
      <c r="S26" s="1" t="s">
        <v>26</v>
      </c>
      <c r="T26" s="2">
        <v>46276</v>
      </c>
      <c r="U26" s="1" t="s">
        <v>27</v>
      </c>
      <c r="V26" s="1" t="s">
        <v>28</v>
      </c>
      <c r="W26" s="1"/>
      <c r="X26" s="1" t="s">
        <v>29</v>
      </c>
      <c r="Y26" s="1" t="s">
        <v>30</v>
      </c>
      <c r="Z26" s="1" t="s">
        <v>405</v>
      </c>
      <c r="AA26" s="1" t="str">
        <f>IFERROR(VLOOKUP(Tabela1[[#This Row],[Natureza]],Tabela4[[#All],[NATUREZA]:[CATEGORIA]],6,FALSE),"")</f>
        <v>COMPROMISSADA</v>
      </c>
      <c r="AB26" s="1"/>
    </row>
    <row r="27" spans="1:28" ht="15.75" x14ac:dyDescent="0.25">
      <c r="A27">
        <f>IF(Tabela1[[#This Row],[Natureza]]&lt;&gt;"",ROW(Tabela1[[#This Row],[Natureza]])-1)</f>
        <v>26</v>
      </c>
      <c r="B27" s="1"/>
      <c r="C27" s="1"/>
      <c r="D27" s="1"/>
      <c r="E27" s="1"/>
      <c r="F27" s="1"/>
      <c r="G27" s="1"/>
      <c r="H27" s="12" t="s">
        <v>477</v>
      </c>
      <c r="I27" s="2"/>
      <c r="J27" s="1" t="s">
        <v>467</v>
      </c>
      <c r="K27" s="2">
        <v>46279</v>
      </c>
      <c r="L27" s="3">
        <v>100028.77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4">
        <v>100028.77</v>
      </c>
      <c r="S27" s="1" t="s">
        <v>26</v>
      </c>
      <c r="T27" s="2">
        <v>46279</v>
      </c>
      <c r="U27" s="1" t="s">
        <v>27</v>
      </c>
      <c r="V27" s="1" t="s">
        <v>28</v>
      </c>
      <c r="W27" s="1"/>
      <c r="X27" s="1" t="s">
        <v>29</v>
      </c>
      <c r="Y27" s="1" t="s">
        <v>30</v>
      </c>
      <c r="Z27" s="1" t="s">
        <v>405</v>
      </c>
      <c r="AA27" s="1" t="str">
        <f>IFERROR(VLOOKUP(Tabela1[[#This Row],[Natureza]],Tabela4[[#All],[NATUREZA]:[CATEGORIA]],6,FALSE),"")</f>
        <v>COMPROMISSADA</v>
      </c>
      <c r="AB27" s="1"/>
    </row>
    <row r="28" spans="1:28" ht="15.75" x14ac:dyDescent="0.25">
      <c r="A28">
        <f>IF(Tabela1[[#This Row],[Natureza]]&lt;&gt;"",ROW(Tabela1[[#This Row],[Natureza]])-1)</f>
        <v>27</v>
      </c>
      <c r="B28" s="1"/>
      <c r="C28" s="1"/>
      <c r="D28" s="1"/>
      <c r="E28" s="1"/>
      <c r="F28" s="1"/>
      <c r="G28" s="1" t="s">
        <v>51</v>
      </c>
      <c r="H28" s="12" t="s">
        <v>482</v>
      </c>
      <c r="I28" s="2"/>
      <c r="J28" s="1" t="s">
        <v>51</v>
      </c>
      <c r="K28" s="2">
        <v>46279</v>
      </c>
      <c r="L28" s="3">
        <v>1.3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4">
        <v>1.3</v>
      </c>
      <c r="S28" s="1" t="s">
        <v>26</v>
      </c>
      <c r="T28" s="2">
        <v>46279</v>
      </c>
      <c r="U28" s="1" t="s">
        <v>27</v>
      </c>
      <c r="V28" s="1" t="s">
        <v>28</v>
      </c>
      <c r="W28" s="1" t="s">
        <v>52</v>
      </c>
      <c r="X28" s="1" t="s">
        <v>29</v>
      </c>
      <c r="Y28" s="1" t="s">
        <v>30</v>
      </c>
      <c r="Z28" s="1" t="s">
        <v>405</v>
      </c>
      <c r="AA28" s="1" t="str">
        <f>IFERROR(VLOOKUP(Tabela1[[#This Row],[Natureza]],Tabela4[[#All],[NATUREZA]:[CATEGORIA]],6,FALSE),"")</f>
        <v>Outras Receitas</v>
      </c>
      <c r="AB28" s="1"/>
    </row>
    <row r="29" spans="1:28" ht="15.75" x14ac:dyDescent="0.25">
      <c r="A29">
        <f>IF(Tabela1[[#This Row],[Natureza]]&lt;&gt;"",ROW(Tabela1[[#This Row],[Natureza]])-1)</f>
        <v>28</v>
      </c>
      <c r="B29" s="1"/>
      <c r="C29" s="1"/>
      <c r="D29" s="1"/>
      <c r="E29" s="1"/>
      <c r="F29" s="1"/>
      <c r="G29" s="1" t="s">
        <v>51</v>
      </c>
      <c r="H29" s="12" t="s">
        <v>482</v>
      </c>
      <c r="I29" s="2"/>
      <c r="J29" s="1" t="s">
        <v>51</v>
      </c>
      <c r="K29" s="2">
        <v>46279</v>
      </c>
      <c r="L29" s="3">
        <v>6.5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4">
        <v>6.5</v>
      </c>
      <c r="S29" s="1" t="s">
        <v>26</v>
      </c>
      <c r="T29" s="2">
        <v>46279</v>
      </c>
      <c r="U29" s="1" t="s">
        <v>27</v>
      </c>
      <c r="V29" s="1" t="s">
        <v>28</v>
      </c>
      <c r="W29" s="1"/>
      <c r="X29" s="1" t="s">
        <v>29</v>
      </c>
      <c r="Y29" s="1" t="s">
        <v>30</v>
      </c>
      <c r="Z29" s="1" t="s">
        <v>405</v>
      </c>
      <c r="AA29" s="1" t="str">
        <f>IFERROR(VLOOKUP(Tabela1[[#This Row],[Natureza]],Tabela4[[#All],[NATUREZA]:[CATEGORIA]],6,FALSE),"")</f>
        <v>Outras Receitas</v>
      </c>
      <c r="AB29" s="1"/>
    </row>
    <row r="30" spans="1:28" ht="15.75" x14ac:dyDescent="0.25">
      <c r="A30">
        <f>IF(Tabela1[[#This Row],[Natureza]]&lt;&gt;"",ROW(Tabela1[[#This Row],[Natureza]])-1)</f>
        <v>29</v>
      </c>
      <c r="B30" s="1"/>
      <c r="C30" s="1"/>
      <c r="D30" s="1"/>
      <c r="E30" s="1"/>
      <c r="F30" s="1"/>
      <c r="G30" s="1" t="s">
        <v>51</v>
      </c>
      <c r="H30" s="12" t="s">
        <v>482</v>
      </c>
      <c r="I30" s="2"/>
      <c r="J30" s="1" t="s">
        <v>51</v>
      </c>
      <c r="K30" s="2">
        <v>46279</v>
      </c>
      <c r="L30" s="3">
        <v>1.3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4">
        <v>1.3</v>
      </c>
      <c r="S30" s="1" t="s">
        <v>26</v>
      </c>
      <c r="T30" s="2">
        <v>46279</v>
      </c>
      <c r="U30" s="1" t="s">
        <v>27</v>
      </c>
      <c r="V30" s="1" t="s">
        <v>28</v>
      </c>
      <c r="W30" s="1"/>
      <c r="X30" s="1" t="s">
        <v>29</v>
      </c>
      <c r="Y30" s="1" t="s">
        <v>30</v>
      </c>
      <c r="Z30" s="1" t="s">
        <v>405</v>
      </c>
      <c r="AA30" s="1" t="str">
        <f>IFERROR(VLOOKUP(Tabela1[[#This Row],[Natureza]],Tabela4[[#All],[NATUREZA]:[CATEGORIA]],6,FALSE),"")</f>
        <v>Outras Receitas</v>
      </c>
      <c r="AB30" s="1"/>
    </row>
    <row r="31" spans="1:28" ht="15.75" x14ac:dyDescent="0.25">
      <c r="A31">
        <f>IF(Tabela1[[#This Row],[Natureza]]&lt;&gt;"",ROW(Tabela1[[#This Row],[Natureza]])-1)</f>
        <v>30</v>
      </c>
      <c r="B31" s="1"/>
      <c r="C31" s="1"/>
      <c r="D31" s="1"/>
      <c r="E31" s="1"/>
      <c r="F31" s="1"/>
      <c r="G31" s="1" t="s">
        <v>51</v>
      </c>
      <c r="H31" s="12" t="s">
        <v>482</v>
      </c>
      <c r="I31" s="2"/>
      <c r="J31" s="1" t="s">
        <v>51</v>
      </c>
      <c r="K31" s="2">
        <v>46279</v>
      </c>
      <c r="L31" s="3">
        <v>3.9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4">
        <v>3.9</v>
      </c>
      <c r="S31" s="1" t="s">
        <v>26</v>
      </c>
      <c r="T31" s="2">
        <v>46279</v>
      </c>
      <c r="U31" s="1" t="s">
        <v>27</v>
      </c>
      <c r="V31" s="1" t="s">
        <v>28</v>
      </c>
      <c r="W31" s="1"/>
      <c r="X31" s="1" t="s">
        <v>29</v>
      </c>
      <c r="Y31" s="1" t="s">
        <v>30</v>
      </c>
      <c r="Z31" s="1" t="s">
        <v>405</v>
      </c>
      <c r="AA31" s="1" t="str">
        <f>IFERROR(VLOOKUP(Tabela1[[#This Row],[Natureza]],Tabela4[[#All],[NATUREZA]:[CATEGORIA]],6,FALSE),"")</f>
        <v>Outras Receitas</v>
      </c>
      <c r="AB31" s="1"/>
    </row>
    <row r="32" spans="1:28" ht="15.75" x14ac:dyDescent="0.25">
      <c r="A32">
        <f>IF(Tabela1[[#This Row],[Natureza]]&lt;&gt;"",ROW(Tabela1[[#This Row],[Natureza]])-1)</f>
        <v>31</v>
      </c>
      <c r="B32" s="1"/>
      <c r="C32" s="1"/>
      <c r="D32" s="1"/>
      <c r="E32" s="1"/>
      <c r="F32" s="1"/>
      <c r="G32" s="1" t="s">
        <v>51</v>
      </c>
      <c r="H32" s="12" t="s">
        <v>482</v>
      </c>
      <c r="I32" s="2"/>
      <c r="J32" s="1" t="s">
        <v>51</v>
      </c>
      <c r="K32" s="2">
        <v>46279</v>
      </c>
      <c r="L32" s="3">
        <v>1.8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4">
        <v>1.8</v>
      </c>
      <c r="S32" s="1" t="s">
        <v>26</v>
      </c>
      <c r="T32" s="2">
        <v>46279</v>
      </c>
      <c r="U32" s="1" t="s">
        <v>27</v>
      </c>
      <c r="V32" s="1" t="s">
        <v>28</v>
      </c>
      <c r="W32" s="1"/>
      <c r="X32" s="1" t="s">
        <v>29</v>
      </c>
      <c r="Y32" s="1" t="s">
        <v>30</v>
      </c>
      <c r="Z32" s="1" t="s">
        <v>405</v>
      </c>
      <c r="AA32" s="1" t="str">
        <f>IFERROR(VLOOKUP(Tabela1[[#This Row],[Natureza]],Tabela4[[#All],[NATUREZA]:[CATEGORIA]],6,FALSE),"")</f>
        <v>Outras Receitas</v>
      </c>
      <c r="AB32" s="1"/>
    </row>
    <row r="33" spans="1:28" ht="15.75" x14ac:dyDescent="0.25">
      <c r="A33">
        <f>IF(Tabela1[[#This Row],[Natureza]]&lt;&gt;"",ROW(Tabela1[[#This Row],[Natureza]])-1)</f>
        <v>32</v>
      </c>
      <c r="B33" s="1"/>
      <c r="C33" s="1"/>
      <c r="D33" s="1"/>
      <c r="E33" s="1"/>
      <c r="F33" s="1"/>
      <c r="G33" s="1" t="s">
        <v>51</v>
      </c>
      <c r="H33" s="12" t="s">
        <v>482</v>
      </c>
      <c r="I33" s="2"/>
      <c r="J33" s="1" t="s">
        <v>51</v>
      </c>
      <c r="K33" s="2">
        <v>46279</v>
      </c>
      <c r="L33" s="3">
        <v>1.8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4">
        <v>1.8</v>
      </c>
      <c r="S33" s="1" t="s">
        <v>26</v>
      </c>
      <c r="T33" s="2">
        <v>46279</v>
      </c>
      <c r="U33" s="1" t="s">
        <v>27</v>
      </c>
      <c r="V33" s="1" t="s">
        <v>28</v>
      </c>
      <c r="W33" s="1"/>
      <c r="X33" s="1" t="s">
        <v>29</v>
      </c>
      <c r="Y33" s="1" t="s">
        <v>30</v>
      </c>
      <c r="Z33" s="1" t="s">
        <v>405</v>
      </c>
      <c r="AA33" s="1" t="str">
        <f>IFERROR(VLOOKUP(Tabela1[[#This Row],[Natureza]],Tabela4[[#All],[NATUREZA]:[CATEGORIA]],6,FALSE),"")</f>
        <v>Outras Receitas</v>
      </c>
      <c r="AB33" s="1"/>
    </row>
    <row r="34" spans="1:28" ht="15.75" x14ac:dyDescent="0.25">
      <c r="A34">
        <f>IF(Tabela1[[#This Row],[Natureza]]&lt;&gt;"",ROW(Tabela1[[#This Row],[Natureza]])-1)</f>
        <v>33</v>
      </c>
      <c r="B34" s="1"/>
      <c r="C34" s="1"/>
      <c r="D34" s="1"/>
      <c r="E34" s="1"/>
      <c r="F34" s="1"/>
      <c r="G34" s="1" t="s">
        <v>51</v>
      </c>
      <c r="H34" s="12" t="s">
        <v>482</v>
      </c>
      <c r="I34" s="2"/>
      <c r="J34" s="1" t="s">
        <v>51</v>
      </c>
      <c r="K34" s="2">
        <v>46279</v>
      </c>
      <c r="L34" s="3">
        <v>5.3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4">
        <v>5.3</v>
      </c>
      <c r="S34" s="1" t="s">
        <v>26</v>
      </c>
      <c r="T34" s="2">
        <v>46279</v>
      </c>
      <c r="U34" s="1" t="s">
        <v>27</v>
      </c>
      <c r="V34" s="1" t="s">
        <v>28</v>
      </c>
      <c r="W34" s="1"/>
      <c r="X34" s="1" t="s">
        <v>29</v>
      </c>
      <c r="Y34" s="1" t="s">
        <v>30</v>
      </c>
      <c r="Z34" s="1" t="s">
        <v>405</v>
      </c>
      <c r="AA34" s="1" t="str">
        <f>IFERROR(VLOOKUP(Tabela1[[#This Row],[Natureza]],Tabela4[[#All],[NATUREZA]:[CATEGORIA]],6,FALSE),"")</f>
        <v>Outras Receitas</v>
      </c>
      <c r="AB34" s="1"/>
    </row>
    <row r="35" spans="1:28" ht="15.75" x14ac:dyDescent="0.25">
      <c r="A35">
        <f>IF(Tabela1[[#This Row],[Natureza]]&lt;&gt;"",ROW(Tabela1[[#This Row],[Natureza]])-1)</f>
        <v>34</v>
      </c>
      <c r="B35" s="1"/>
      <c r="C35" s="1"/>
      <c r="D35" s="1"/>
      <c r="E35" s="1"/>
      <c r="F35" s="1"/>
      <c r="G35" s="1" t="s">
        <v>51</v>
      </c>
      <c r="H35" s="12" t="s">
        <v>482</v>
      </c>
      <c r="I35" s="2"/>
      <c r="J35" s="1" t="s">
        <v>51</v>
      </c>
      <c r="K35" s="2">
        <v>46279</v>
      </c>
      <c r="L35" s="3">
        <v>23.4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4">
        <v>23.4</v>
      </c>
      <c r="S35" s="1" t="s">
        <v>26</v>
      </c>
      <c r="T35" s="2">
        <v>46279</v>
      </c>
      <c r="U35" s="1" t="s">
        <v>27</v>
      </c>
      <c r="V35" s="1" t="s">
        <v>28</v>
      </c>
      <c r="W35" s="1"/>
      <c r="X35" s="1" t="s">
        <v>29</v>
      </c>
      <c r="Y35" s="1" t="s">
        <v>30</v>
      </c>
      <c r="Z35" s="1" t="s">
        <v>405</v>
      </c>
      <c r="AA35" s="1" t="str">
        <f>IFERROR(VLOOKUP(Tabela1[[#This Row],[Natureza]],Tabela4[[#All],[NATUREZA]:[CATEGORIA]],6,FALSE),"")</f>
        <v>Outras Receitas</v>
      </c>
      <c r="AB35" s="1"/>
    </row>
    <row r="36" spans="1:28" ht="15.75" x14ac:dyDescent="0.25">
      <c r="A36">
        <f>IF(Tabela1[[#This Row],[Natureza]]&lt;&gt;"",ROW(Tabela1[[#This Row],[Natureza]])-1)</f>
        <v>35</v>
      </c>
      <c r="B36" s="1"/>
      <c r="C36" s="1"/>
      <c r="D36" s="1"/>
      <c r="E36" s="1"/>
      <c r="F36" s="1"/>
      <c r="G36" s="1" t="s">
        <v>51</v>
      </c>
      <c r="H36" s="12" t="s">
        <v>482</v>
      </c>
      <c r="I36" s="2"/>
      <c r="J36" s="1" t="s">
        <v>51</v>
      </c>
      <c r="K36" s="2">
        <v>46279</v>
      </c>
      <c r="L36" s="3">
        <v>7.8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4">
        <v>7.8</v>
      </c>
      <c r="S36" s="1" t="s">
        <v>26</v>
      </c>
      <c r="T36" s="2">
        <v>46279</v>
      </c>
      <c r="U36" s="1" t="s">
        <v>27</v>
      </c>
      <c r="V36" s="1" t="s">
        <v>28</v>
      </c>
      <c r="W36" s="1"/>
      <c r="X36" s="1" t="s">
        <v>29</v>
      </c>
      <c r="Y36" s="1" t="s">
        <v>30</v>
      </c>
      <c r="Z36" s="1" t="s">
        <v>405</v>
      </c>
      <c r="AA36" s="1" t="str">
        <f>IFERROR(VLOOKUP(Tabela1[[#This Row],[Natureza]],Tabela4[[#All],[NATUREZA]:[CATEGORIA]],6,FALSE),"")</f>
        <v>Outras Receitas</v>
      </c>
      <c r="AB36" s="1"/>
    </row>
    <row r="37" spans="1:28" ht="15.75" x14ac:dyDescent="0.25">
      <c r="A37">
        <f>IF(Tabela1[[#This Row],[Natureza]]&lt;&gt;"",ROW(Tabela1[[#This Row],[Natureza]])-1)</f>
        <v>36</v>
      </c>
      <c r="B37" s="1"/>
      <c r="C37" s="1"/>
      <c r="D37" s="1"/>
      <c r="E37" s="1"/>
      <c r="F37" s="1"/>
      <c r="G37" s="1" t="s">
        <v>51</v>
      </c>
      <c r="H37" s="12" t="s">
        <v>482</v>
      </c>
      <c r="I37" s="2"/>
      <c r="J37" s="1" t="s">
        <v>51</v>
      </c>
      <c r="K37" s="2">
        <v>46279</v>
      </c>
      <c r="L37" s="3">
        <v>15.6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4">
        <v>15.6</v>
      </c>
      <c r="S37" s="1" t="s">
        <v>26</v>
      </c>
      <c r="T37" s="2">
        <v>46279</v>
      </c>
      <c r="U37" s="1" t="s">
        <v>27</v>
      </c>
      <c r="V37" s="1" t="s">
        <v>28</v>
      </c>
      <c r="W37" s="1"/>
      <c r="X37" s="1" t="s">
        <v>29</v>
      </c>
      <c r="Y37" s="1" t="s">
        <v>30</v>
      </c>
      <c r="Z37" s="1" t="s">
        <v>405</v>
      </c>
      <c r="AA37" s="1" t="str">
        <f>IFERROR(VLOOKUP(Tabela1[[#This Row],[Natureza]],Tabela4[[#All],[NATUREZA]:[CATEGORIA]],6,FALSE),"")</f>
        <v>Outras Receitas</v>
      </c>
      <c r="AB37" s="1"/>
    </row>
    <row r="38" spans="1:28" ht="15.75" x14ac:dyDescent="0.25">
      <c r="A38">
        <f>IF(Tabela1[[#This Row],[Natureza]]&lt;&gt;"",ROW(Tabela1[[#This Row],[Natureza]])-1)</f>
        <v>37</v>
      </c>
      <c r="B38" s="1"/>
      <c r="C38" s="1"/>
      <c r="D38" s="1"/>
      <c r="E38" s="1"/>
      <c r="F38" s="1"/>
      <c r="G38" s="1" t="s">
        <v>51</v>
      </c>
      <c r="H38" s="12" t="s">
        <v>482</v>
      </c>
      <c r="I38" s="2"/>
      <c r="J38" s="1" t="s">
        <v>51</v>
      </c>
      <c r="K38" s="2">
        <v>46279</v>
      </c>
      <c r="L38" s="3">
        <v>7.8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4">
        <v>7.8</v>
      </c>
      <c r="S38" s="1" t="s">
        <v>26</v>
      </c>
      <c r="T38" s="2">
        <v>46279</v>
      </c>
      <c r="U38" s="1" t="s">
        <v>27</v>
      </c>
      <c r="V38" s="1" t="s">
        <v>28</v>
      </c>
      <c r="W38" s="1"/>
      <c r="X38" s="1" t="s">
        <v>29</v>
      </c>
      <c r="Y38" s="1" t="s">
        <v>30</v>
      </c>
      <c r="Z38" s="1" t="s">
        <v>405</v>
      </c>
      <c r="AA38" s="1" t="str">
        <f>IFERROR(VLOOKUP(Tabela1[[#This Row],[Natureza]],Tabela4[[#All],[NATUREZA]:[CATEGORIA]],6,FALSE),"")</f>
        <v>Outras Receitas</v>
      </c>
      <c r="AB38" s="1"/>
    </row>
    <row r="39" spans="1:28" ht="15.75" x14ac:dyDescent="0.25">
      <c r="A39">
        <f>IF(Tabela1[[#This Row],[Natureza]]&lt;&gt;"",ROW(Tabela1[[#This Row],[Natureza]])-1)</f>
        <v>38</v>
      </c>
      <c r="B39" s="1"/>
      <c r="C39" s="1"/>
      <c r="D39" s="1"/>
      <c r="E39" s="1"/>
      <c r="F39" s="1"/>
      <c r="G39" s="1" t="s">
        <v>51</v>
      </c>
      <c r="H39" s="12" t="s">
        <v>482</v>
      </c>
      <c r="I39" s="2"/>
      <c r="J39" s="1" t="s">
        <v>51</v>
      </c>
      <c r="K39" s="2">
        <v>46279</v>
      </c>
      <c r="L39" s="3">
        <v>23.4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4">
        <v>23.4</v>
      </c>
      <c r="S39" s="1" t="s">
        <v>26</v>
      </c>
      <c r="T39" s="2">
        <v>46279</v>
      </c>
      <c r="U39" s="1" t="s">
        <v>27</v>
      </c>
      <c r="V39" s="1" t="s">
        <v>28</v>
      </c>
      <c r="W39" s="1"/>
      <c r="X39" s="1" t="s">
        <v>29</v>
      </c>
      <c r="Y39" s="1" t="s">
        <v>30</v>
      </c>
      <c r="Z39" s="1" t="s">
        <v>405</v>
      </c>
      <c r="AA39" s="1" t="str">
        <f>IFERROR(VLOOKUP(Tabela1[[#This Row],[Natureza]],Tabela4[[#All],[NATUREZA]:[CATEGORIA]],6,FALSE),"")</f>
        <v>Outras Receitas</v>
      </c>
      <c r="AB39" s="1"/>
    </row>
    <row r="40" spans="1:28" ht="15.75" x14ac:dyDescent="0.25">
      <c r="A40">
        <f>IF(Tabela1[[#This Row],[Natureza]]&lt;&gt;"",ROW(Tabela1[[#This Row],[Natureza]])-1)</f>
        <v>39</v>
      </c>
      <c r="B40" s="1"/>
      <c r="C40" s="1"/>
      <c r="D40" s="1"/>
      <c r="E40" s="1"/>
      <c r="F40" s="1"/>
      <c r="G40" s="1" t="s">
        <v>51</v>
      </c>
      <c r="H40" s="12" t="s">
        <v>482</v>
      </c>
      <c r="I40" s="2"/>
      <c r="J40" s="1" t="s">
        <v>51</v>
      </c>
      <c r="K40" s="2">
        <v>46279</v>
      </c>
      <c r="L40" s="3">
        <v>1.3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4">
        <v>1.3</v>
      </c>
      <c r="S40" s="1" t="s">
        <v>26</v>
      </c>
      <c r="T40" s="2">
        <v>46279</v>
      </c>
      <c r="U40" s="1" t="s">
        <v>27</v>
      </c>
      <c r="V40" s="1" t="s">
        <v>28</v>
      </c>
      <c r="W40" s="1"/>
      <c r="X40" s="1" t="s">
        <v>29</v>
      </c>
      <c r="Y40" s="1" t="s">
        <v>30</v>
      </c>
      <c r="Z40" s="1" t="s">
        <v>405</v>
      </c>
      <c r="AA40" s="1" t="str">
        <f>IFERROR(VLOOKUP(Tabela1[[#This Row],[Natureza]],Tabela4[[#All],[NATUREZA]:[CATEGORIA]],6,FALSE),"")</f>
        <v>Outras Receitas</v>
      </c>
      <c r="AB40" s="1"/>
    </row>
    <row r="41" spans="1:28" ht="15.75" x14ac:dyDescent="0.25">
      <c r="A41">
        <f>IF(Tabela1[[#This Row],[Natureza]]&lt;&gt;"",ROW(Tabela1[[#This Row],[Natureza]])-1)</f>
        <v>40</v>
      </c>
      <c r="B41" s="1"/>
      <c r="C41" s="1"/>
      <c r="D41" s="1"/>
      <c r="E41" s="1"/>
      <c r="F41" s="1"/>
      <c r="G41" s="1"/>
      <c r="H41" s="12" t="s">
        <v>476</v>
      </c>
      <c r="I41" s="2"/>
      <c r="J41" s="1" t="s">
        <v>462</v>
      </c>
      <c r="K41" s="2">
        <v>46280</v>
      </c>
      <c r="L41" s="3">
        <v>5.2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4">
        <v>5.2</v>
      </c>
      <c r="S41" s="1" t="s">
        <v>26</v>
      </c>
      <c r="T41" s="2">
        <v>46280</v>
      </c>
      <c r="U41" s="1" t="s">
        <v>27</v>
      </c>
      <c r="V41" s="1" t="s">
        <v>28</v>
      </c>
      <c r="W41" s="1"/>
      <c r="X41" s="1" t="s">
        <v>29</v>
      </c>
      <c r="Y41" s="1" t="s">
        <v>30</v>
      </c>
      <c r="Z41" s="1" t="s">
        <v>405</v>
      </c>
      <c r="AA41" s="1" t="str">
        <f>IFERROR(VLOOKUP(Tabela1[[#This Row],[Natureza]],Tabela4[[#All],[NATUREZA]:[CATEGORIA]],6,FALSE),"")</f>
        <v>CONTAMAX</v>
      </c>
      <c r="AB41" s="1"/>
    </row>
    <row r="42" spans="1:28" ht="15.75" x14ac:dyDescent="0.25">
      <c r="A42">
        <f>IF(Tabela1[[#This Row],[Natureza]]&lt;&gt;"",ROW(Tabela1[[#This Row],[Natureza]])-1)</f>
        <v>41</v>
      </c>
      <c r="B42" s="1"/>
      <c r="C42" s="1"/>
      <c r="D42" s="1"/>
      <c r="E42" s="1"/>
      <c r="F42" s="1"/>
      <c r="G42" s="1"/>
      <c r="H42" s="12" t="s">
        <v>476</v>
      </c>
      <c r="I42" s="2"/>
      <c r="J42" s="1" t="s">
        <v>462</v>
      </c>
      <c r="K42" s="2">
        <v>46281</v>
      </c>
      <c r="L42" s="3">
        <v>60919.1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4">
        <v>60919.1</v>
      </c>
      <c r="S42" s="1" t="s">
        <v>26</v>
      </c>
      <c r="T42" s="2">
        <v>46281</v>
      </c>
      <c r="U42" s="1" t="s">
        <v>27</v>
      </c>
      <c r="V42" s="1" t="s">
        <v>28</v>
      </c>
      <c r="W42" s="1"/>
      <c r="X42" s="1" t="s">
        <v>29</v>
      </c>
      <c r="Y42" s="1" t="s">
        <v>30</v>
      </c>
      <c r="Z42" s="1" t="s">
        <v>405</v>
      </c>
      <c r="AA42" s="1" t="str">
        <f>IFERROR(VLOOKUP(Tabela1[[#This Row],[Natureza]],Tabela4[[#All],[NATUREZA]:[CATEGORIA]],6,FALSE),"")</f>
        <v>CONTAMAX</v>
      </c>
      <c r="AB42" s="1"/>
    </row>
    <row r="43" spans="1:28" ht="15.75" x14ac:dyDescent="0.25">
      <c r="A43">
        <f>IF(Tabela1[[#This Row],[Natureza]]&lt;&gt;"",ROW(Tabela1[[#This Row],[Natureza]])-1)</f>
        <v>42</v>
      </c>
      <c r="B43" s="1"/>
      <c r="C43" s="1"/>
      <c r="D43" s="1"/>
      <c r="E43" s="1"/>
      <c r="F43" s="1"/>
      <c r="G43" s="1"/>
      <c r="H43" s="1" t="s">
        <v>24</v>
      </c>
      <c r="I43" s="2"/>
      <c r="J43" s="1" t="s">
        <v>53</v>
      </c>
      <c r="K43" s="2">
        <v>46281</v>
      </c>
      <c r="L43" s="3">
        <v>5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4">
        <v>5</v>
      </c>
      <c r="S43" s="1" t="s">
        <v>26</v>
      </c>
      <c r="T43" s="2">
        <v>46281</v>
      </c>
      <c r="U43" s="1" t="s">
        <v>27</v>
      </c>
      <c r="V43" s="1" t="s">
        <v>28</v>
      </c>
      <c r="W43" s="1"/>
      <c r="X43" s="1" t="s">
        <v>29</v>
      </c>
      <c r="Y43" s="1" t="s">
        <v>54</v>
      </c>
      <c r="Z43" s="1" t="s">
        <v>405</v>
      </c>
      <c r="AA43" s="1" t="str">
        <f>IFERROR(VLOOKUP(Tabela1[[#This Row],[Natureza]],Tabela4[[#All],[NATUREZA]:[CATEGORIA]],6,FALSE),"")</f>
        <v>Transferência de Entrada</v>
      </c>
      <c r="AB4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7"/>
  <sheetViews>
    <sheetView topLeftCell="J1" workbookViewId="0">
      <selection activeCell="AA1" sqref="AA1:AA4"/>
    </sheetView>
  </sheetViews>
  <sheetFormatPr defaultColWidth="9.140625" defaultRowHeight="15" x14ac:dyDescent="0.25"/>
  <cols>
    <col min="2" max="2" width="6" customWidth="1"/>
    <col min="3" max="3" width="12.85546875" bestFit="1" customWidth="1"/>
    <col min="4" max="4" width="6.5703125" customWidth="1"/>
    <col min="5" max="5" width="6" customWidth="1"/>
    <col min="6" max="6" width="9.85546875" customWidth="1"/>
    <col min="7" max="7" width="85.42578125" bestFit="1" customWidth="1"/>
    <col min="8" max="8" width="12" customWidth="1"/>
    <col min="9" max="9" width="12.7109375" bestFit="1" customWidth="1"/>
    <col min="10" max="10" width="60" bestFit="1" customWidth="1"/>
    <col min="11" max="11" width="12.7109375" bestFit="1" customWidth="1"/>
    <col min="12" max="12" width="18.140625" style="5" customWidth="1"/>
    <col min="13" max="13" width="12" customWidth="1"/>
    <col min="14" max="14" width="16.28515625" customWidth="1"/>
    <col min="15" max="15" width="13.85546875" customWidth="1"/>
    <col min="16" max="16" width="10.85546875" customWidth="1"/>
    <col min="17" max="17" width="14.85546875" customWidth="1"/>
    <col min="18" max="18" width="18.28515625" style="5" customWidth="1"/>
    <col min="19" max="19" width="7.140625" customWidth="1"/>
    <col min="20" max="20" width="12.7109375" style="6" bestFit="1" customWidth="1"/>
    <col min="21" max="21" width="6.85546875" customWidth="1"/>
    <col min="22" max="22" width="7.42578125" customWidth="1"/>
    <col min="23" max="23" width="15" customWidth="1"/>
    <col min="24" max="24" width="11.42578125" customWidth="1"/>
    <col min="25" max="25" width="16.140625" customWidth="1"/>
  </cols>
  <sheetData>
    <row r="1" spans="1:27" ht="15.75" x14ac:dyDescent="0.25">
      <c r="A1" t="s">
        <v>489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403</v>
      </c>
      <c r="AA1" s="15" t="s">
        <v>430</v>
      </c>
    </row>
    <row r="2" spans="1:27" ht="15.75" x14ac:dyDescent="0.25">
      <c r="A2">
        <f>IF(Tabela2[[#This Row],[Natureza]]&lt;&gt;"",ROW(Tabela2[[#This Row],[Natureza]])-1)</f>
        <v>1</v>
      </c>
      <c r="B2" s="1" t="s">
        <v>34</v>
      </c>
      <c r="C2" s="1" t="s">
        <v>55</v>
      </c>
      <c r="D2" s="1"/>
      <c r="E2" s="1" t="s">
        <v>56</v>
      </c>
      <c r="F2" s="1" t="s">
        <v>57</v>
      </c>
      <c r="G2" s="1" t="s">
        <v>58</v>
      </c>
      <c r="H2" s="1" t="s">
        <v>59</v>
      </c>
      <c r="I2" s="2">
        <v>46234</v>
      </c>
      <c r="J2" s="1" t="s">
        <v>60</v>
      </c>
      <c r="K2" s="2">
        <v>46234</v>
      </c>
      <c r="L2" s="3">
        <v>25000000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4">
        <v>25000000</v>
      </c>
      <c r="S2" s="1" t="s">
        <v>26</v>
      </c>
      <c r="T2" s="2">
        <v>46234</v>
      </c>
      <c r="U2" s="1" t="s">
        <v>27</v>
      </c>
      <c r="V2" s="1" t="s">
        <v>28</v>
      </c>
      <c r="W2" s="1"/>
      <c r="X2" s="1" t="s">
        <v>29</v>
      </c>
      <c r="Y2" s="1" t="s">
        <v>30</v>
      </c>
      <c r="Z2" s="1" t="s">
        <v>404</v>
      </c>
      <c r="AA2" s="1" t="str">
        <f>IFERROR(VLOOKUP(Tabela2[[#This Row],[Natureza]],Tabela4[[#All],[NATUREZA]:[CATEGORIA]],6,FALSE),"")</f>
        <v>Distribuição Antecipada</v>
      </c>
    </row>
    <row r="3" spans="1:27" ht="15.75" x14ac:dyDescent="0.25">
      <c r="A3">
        <f>IF(Tabela2[[#This Row],[Natureza]]&lt;&gt;"",ROW(Tabela2[[#This Row],[Natureza]])-1)</f>
        <v>2</v>
      </c>
      <c r="B3" s="1" t="s">
        <v>34</v>
      </c>
      <c r="C3" s="1" t="s">
        <v>61</v>
      </c>
      <c r="D3" s="1"/>
      <c r="E3" s="1" t="s">
        <v>56</v>
      </c>
      <c r="F3" s="1" t="s">
        <v>62</v>
      </c>
      <c r="G3" s="1" t="s">
        <v>63</v>
      </c>
      <c r="H3" s="1" t="s">
        <v>59</v>
      </c>
      <c r="I3" s="2">
        <v>46234</v>
      </c>
      <c r="J3" s="1" t="s">
        <v>64</v>
      </c>
      <c r="K3" s="2">
        <v>46234</v>
      </c>
      <c r="L3" s="3">
        <v>25000000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4">
        <v>25000000</v>
      </c>
      <c r="S3" s="1" t="s">
        <v>26</v>
      </c>
      <c r="T3" s="2">
        <v>46234</v>
      </c>
      <c r="U3" s="1" t="s">
        <v>27</v>
      </c>
      <c r="V3" s="1" t="s">
        <v>28</v>
      </c>
      <c r="W3" s="1"/>
      <c r="X3" s="1" t="s">
        <v>29</v>
      </c>
      <c r="Y3" s="1" t="s">
        <v>30</v>
      </c>
      <c r="Z3" s="1" t="s">
        <v>404</v>
      </c>
      <c r="AA3" s="1" t="str">
        <f>IFERROR(VLOOKUP(Tabela2[[#This Row],[Natureza]],Tabela4[[#All],[NATUREZA]:[CATEGORIA]],6,FALSE),"")</f>
        <v>Distribuição Antecipada</v>
      </c>
    </row>
    <row r="4" spans="1:27" ht="15.75" x14ac:dyDescent="0.25">
      <c r="A4">
        <f>IF(Tabela2[[#This Row],[Natureza]]&lt;&gt;"",ROW(Tabela2[[#This Row],[Natureza]])-1)</f>
        <v>3</v>
      </c>
      <c r="B4" s="1" t="s">
        <v>34</v>
      </c>
      <c r="C4" s="1" t="s">
        <v>65</v>
      </c>
      <c r="D4" s="1"/>
      <c r="E4" s="1" t="s">
        <v>56</v>
      </c>
      <c r="F4" s="1" t="s">
        <v>66</v>
      </c>
      <c r="G4" s="1" t="s">
        <v>67</v>
      </c>
      <c r="H4" s="1" t="s">
        <v>59</v>
      </c>
      <c r="I4" s="2">
        <v>46234</v>
      </c>
      <c r="J4" s="1" t="s">
        <v>68</v>
      </c>
      <c r="K4" s="2">
        <v>46234</v>
      </c>
      <c r="L4" s="3">
        <v>25000000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4">
        <v>25000000</v>
      </c>
      <c r="S4" s="1" t="s">
        <v>26</v>
      </c>
      <c r="T4" s="2">
        <v>46234</v>
      </c>
      <c r="U4" s="1" t="s">
        <v>27</v>
      </c>
      <c r="V4" s="1" t="s">
        <v>28</v>
      </c>
      <c r="W4" s="1"/>
      <c r="X4" s="1" t="s">
        <v>29</v>
      </c>
      <c r="Y4" s="1" t="s">
        <v>30</v>
      </c>
      <c r="Z4" s="1" t="s">
        <v>404</v>
      </c>
      <c r="AA4" s="1" t="str">
        <f>IFERROR(VLOOKUP(Tabela2[[#This Row],[Natureza]],Tabela4[[#All],[NATUREZA]:[CATEGORIA]],6,FALSE),"")</f>
        <v>Distribuição Antecipada</v>
      </c>
    </row>
    <row r="5" spans="1:27" ht="15.75" x14ac:dyDescent="0.25">
      <c r="A5">
        <f>IF(Tabela2[[#This Row],[Natureza]]&lt;&gt;"",ROW(Tabela2[[#This Row],[Natureza]])-1)</f>
        <v>4</v>
      </c>
      <c r="B5" s="1"/>
      <c r="C5" s="1"/>
      <c r="D5" s="1"/>
      <c r="E5" s="1"/>
      <c r="F5" s="1"/>
      <c r="G5" s="1"/>
      <c r="H5" s="12" t="s">
        <v>473</v>
      </c>
      <c r="I5" s="2"/>
      <c r="J5" s="1" t="s">
        <v>31</v>
      </c>
      <c r="K5" s="2">
        <v>46234</v>
      </c>
      <c r="L5" s="3">
        <v>100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4">
        <v>100</v>
      </c>
      <c r="S5" s="1" t="s">
        <v>26</v>
      </c>
      <c r="T5" s="2">
        <v>46234</v>
      </c>
      <c r="U5" s="1" t="s">
        <v>27</v>
      </c>
      <c r="V5" s="1" t="s">
        <v>28</v>
      </c>
      <c r="W5" s="1"/>
      <c r="X5" s="1" t="s">
        <v>29</v>
      </c>
      <c r="Y5" s="1" t="s">
        <v>30</v>
      </c>
      <c r="Z5" s="1" t="s">
        <v>404</v>
      </c>
      <c r="AA5" s="1" t="str">
        <f>IFERROR(VLOOKUP(Tabela2[[#This Row],[Natureza]],Tabela4[[#All],[NATUREZA]:[CATEGORIA]],6,FALSE),"")</f>
        <v>CONTAMAX</v>
      </c>
    </row>
    <row r="6" spans="1:27" ht="15.75" x14ac:dyDescent="0.25">
      <c r="A6">
        <f>IF(Tabela2[[#This Row],[Natureza]]&lt;&gt;"",ROW(Tabela2[[#This Row],[Natureza]])-1)</f>
        <v>5</v>
      </c>
      <c r="B6" s="1"/>
      <c r="C6" s="1"/>
      <c r="D6" s="1"/>
      <c r="E6" s="1"/>
      <c r="F6" s="1"/>
      <c r="G6" s="1"/>
      <c r="H6" s="12" t="s">
        <v>475</v>
      </c>
      <c r="I6" s="2"/>
      <c r="J6" s="1" t="s">
        <v>42</v>
      </c>
      <c r="K6" s="2">
        <v>46234</v>
      </c>
      <c r="L6" s="3">
        <v>30015094.030000001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4">
        <v>30015094.030000001</v>
      </c>
      <c r="S6" s="1" t="s">
        <v>26</v>
      </c>
      <c r="T6" s="2">
        <v>46234</v>
      </c>
      <c r="U6" s="1" t="s">
        <v>27</v>
      </c>
      <c r="V6" s="1" t="s">
        <v>28</v>
      </c>
      <c r="W6" s="1"/>
      <c r="X6" s="1" t="s">
        <v>29</v>
      </c>
      <c r="Y6" s="1" t="s">
        <v>30</v>
      </c>
      <c r="Z6" s="1" t="s">
        <v>404</v>
      </c>
      <c r="AA6" s="1" t="str">
        <f>IFERROR(VLOOKUP(Tabela2[[#This Row],[Natureza]],Tabela4[[#All],[NATUREZA]:[CATEGORIA]],6,FALSE),"")</f>
        <v>CDB</v>
      </c>
    </row>
    <row r="7" spans="1:27" ht="15.75" x14ac:dyDescent="0.25">
      <c r="A7">
        <f>IF(Tabela2[[#This Row],[Natureza]]&lt;&gt;"",ROW(Tabela2[[#This Row],[Natureza]])-1)</f>
        <v>6</v>
      </c>
      <c r="B7" s="1"/>
      <c r="C7" s="1"/>
      <c r="D7" s="1"/>
      <c r="E7" s="1"/>
      <c r="F7" s="1"/>
      <c r="G7" s="1"/>
      <c r="H7" s="12" t="s">
        <v>474</v>
      </c>
      <c r="I7" s="2"/>
      <c r="J7" s="1" t="s">
        <v>48</v>
      </c>
      <c r="K7" s="2">
        <v>46234</v>
      </c>
      <c r="L7" s="3">
        <v>30015903.199999999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4">
        <v>30015903.199999999</v>
      </c>
      <c r="S7" s="1" t="s">
        <v>26</v>
      </c>
      <c r="T7" s="2">
        <v>46234</v>
      </c>
      <c r="U7" s="1" t="s">
        <v>27</v>
      </c>
      <c r="V7" s="1" t="s">
        <v>28</v>
      </c>
      <c r="W7" s="1"/>
      <c r="X7" s="1" t="s">
        <v>29</v>
      </c>
      <c r="Y7" s="1" t="s">
        <v>30</v>
      </c>
      <c r="Z7" s="1" t="s">
        <v>404</v>
      </c>
      <c r="AA7" s="1" t="str">
        <f>IFERROR(VLOOKUP(Tabela2[[#This Row],[Natureza]],Tabela4[[#All],[NATUREZA]:[CATEGORIA]],6,FALSE),"")</f>
        <v>COMPROMISSADA</v>
      </c>
    </row>
    <row r="8" spans="1:27" ht="15.75" x14ac:dyDescent="0.25">
      <c r="A8">
        <f>IF(Tabela2[[#This Row],[Natureza]]&lt;&gt;"",ROW(Tabela2[[#This Row],[Natureza]])-1)</f>
        <v>7</v>
      </c>
      <c r="B8" s="1"/>
      <c r="C8" s="1"/>
      <c r="D8" s="1"/>
      <c r="E8" s="1"/>
      <c r="F8" s="1"/>
      <c r="G8" s="1" t="s">
        <v>70</v>
      </c>
      <c r="H8" s="1" t="s">
        <v>50</v>
      </c>
      <c r="I8" s="2"/>
      <c r="J8" s="1" t="s">
        <v>70</v>
      </c>
      <c r="K8" s="2">
        <v>46237</v>
      </c>
      <c r="L8" s="3">
        <v>27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4">
        <v>27</v>
      </c>
      <c r="S8" s="1" t="s">
        <v>26</v>
      </c>
      <c r="T8" s="2">
        <v>46237</v>
      </c>
      <c r="U8" s="1" t="s">
        <v>27</v>
      </c>
      <c r="V8" s="1" t="s">
        <v>28</v>
      </c>
      <c r="W8" s="1"/>
      <c r="X8" s="1" t="s">
        <v>29</v>
      </c>
      <c r="Y8" s="1" t="s">
        <v>30</v>
      </c>
      <c r="Z8" s="1" t="s">
        <v>404</v>
      </c>
      <c r="AA8" s="1" t="str">
        <f>IFERROR(VLOOKUP(Tabela2[[#This Row],[Natureza]],Tabela4[[#All],[NATUREZA]:[CATEGORIA]],6,FALSE),"")</f>
        <v>Impostos/Tributos e Taxas</v>
      </c>
    </row>
    <row r="9" spans="1:27" ht="15.75" x14ac:dyDescent="0.25">
      <c r="A9">
        <f>IF(Tabela2[[#This Row],[Natureza]]&lt;&gt;"",ROW(Tabela2[[#This Row],[Natureza]])-1)</f>
        <v>8</v>
      </c>
      <c r="B9" s="1" t="s">
        <v>72</v>
      </c>
      <c r="C9" s="1" t="s">
        <v>73</v>
      </c>
      <c r="D9" s="1"/>
      <c r="E9" s="1" t="s">
        <v>74</v>
      </c>
      <c r="F9" s="1" t="s">
        <v>75</v>
      </c>
      <c r="G9" s="1" t="s">
        <v>76</v>
      </c>
      <c r="H9" s="1" t="s">
        <v>77</v>
      </c>
      <c r="I9" s="2">
        <v>46244</v>
      </c>
      <c r="J9" s="1" t="s">
        <v>78</v>
      </c>
      <c r="K9" s="2">
        <v>46244</v>
      </c>
      <c r="L9" s="3">
        <v>390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4">
        <v>390</v>
      </c>
      <c r="S9" s="1" t="s">
        <v>26</v>
      </c>
      <c r="T9" s="2">
        <v>46244</v>
      </c>
      <c r="U9" s="1" t="s">
        <v>79</v>
      </c>
      <c r="V9" s="1" t="s">
        <v>28</v>
      </c>
      <c r="W9" s="1"/>
      <c r="X9" s="1" t="s">
        <v>29</v>
      </c>
      <c r="Y9" s="1" t="s">
        <v>30</v>
      </c>
      <c r="Z9" s="1" t="s">
        <v>404</v>
      </c>
      <c r="AA9" s="1" t="str">
        <f>IFERROR(VLOOKUP(Tabela2[[#This Row],[Natureza]],Tabela4[[#All],[NATUREZA]:[CATEGORIA]],6,FALSE),"")</f>
        <v>Alimentação</v>
      </c>
    </row>
    <row r="10" spans="1:27" ht="15.75" x14ac:dyDescent="0.25">
      <c r="A10">
        <f>IF(Tabela2[[#This Row],[Natureza]]&lt;&gt;"",ROW(Tabela2[[#This Row],[Natureza]])-1)</f>
        <v>9</v>
      </c>
      <c r="B10" s="1" t="s">
        <v>72</v>
      </c>
      <c r="C10" s="1" t="s">
        <v>80</v>
      </c>
      <c r="D10" s="1" t="s">
        <v>81</v>
      </c>
      <c r="E10" s="1" t="s">
        <v>74</v>
      </c>
      <c r="F10" s="1" t="s">
        <v>82</v>
      </c>
      <c r="G10" s="1" t="s">
        <v>83</v>
      </c>
      <c r="H10" s="1" t="s">
        <v>84</v>
      </c>
      <c r="I10" s="2">
        <v>46244</v>
      </c>
      <c r="J10" s="1" t="s">
        <v>85</v>
      </c>
      <c r="K10" s="2">
        <v>46244</v>
      </c>
      <c r="L10" s="3">
        <v>68366.42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4">
        <v>68366.42</v>
      </c>
      <c r="S10" s="1" t="s">
        <v>26</v>
      </c>
      <c r="T10" s="2">
        <v>46244</v>
      </c>
      <c r="U10" s="1" t="s">
        <v>79</v>
      </c>
      <c r="V10" s="1" t="s">
        <v>28</v>
      </c>
      <c r="W10" s="1"/>
      <c r="X10" s="1" t="s">
        <v>29</v>
      </c>
      <c r="Y10" s="1" t="s">
        <v>30</v>
      </c>
      <c r="Z10" s="1" t="s">
        <v>404</v>
      </c>
      <c r="AA10" s="1" t="str">
        <f>IFERROR(VLOOKUP(Tabela2[[#This Row],[Natureza]],Tabela4[[#All],[NATUREZA]:[CATEGORIA]],6,FALSE),"")</f>
        <v>Seguros</v>
      </c>
    </row>
    <row r="11" spans="1:27" ht="15.75" x14ac:dyDescent="0.25">
      <c r="A11">
        <f>IF(Tabela2[[#This Row],[Natureza]]&lt;&gt;"",ROW(Tabela2[[#This Row],[Natureza]])-1)</f>
        <v>10</v>
      </c>
      <c r="B11" s="1"/>
      <c r="C11" s="1"/>
      <c r="D11" s="1"/>
      <c r="E11" s="1"/>
      <c r="F11" s="1"/>
      <c r="G11" s="1"/>
      <c r="H11" s="12" t="s">
        <v>473</v>
      </c>
      <c r="I11" s="2"/>
      <c r="J11" s="1" t="s">
        <v>31</v>
      </c>
      <c r="K11" s="2">
        <v>46244</v>
      </c>
      <c r="L11" s="3">
        <v>1855.27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4">
        <v>1855.27</v>
      </c>
      <c r="S11" s="1" t="s">
        <v>26</v>
      </c>
      <c r="T11" s="2">
        <v>46244</v>
      </c>
      <c r="U11" s="1" t="s">
        <v>27</v>
      </c>
      <c r="V11" s="1" t="s">
        <v>28</v>
      </c>
      <c r="W11" s="1"/>
      <c r="X11" s="1" t="s">
        <v>29</v>
      </c>
      <c r="Y11" s="1" t="s">
        <v>30</v>
      </c>
      <c r="Z11" s="1" t="s">
        <v>404</v>
      </c>
      <c r="AA11" s="1" t="str">
        <f>IFERROR(VLOOKUP(Tabela2[[#This Row],[Natureza]],Tabela4[[#All],[NATUREZA]:[CATEGORIA]],6,FALSE),"")</f>
        <v>CONTAMAX</v>
      </c>
    </row>
    <row r="12" spans="1:27" ht="15.75" x14ac:dyDescent="0.25">
      <c r="A12">
        <f>IF(Tabela2[[#This Row],[Natureza]]&lt;&gt;"",ROW(Tabela2[[#This Row],[Natureza]])-1)</f>
        <v>11</v>
      </c>
      <c r="B12" s="1"/>
      <c r="C12" s="1"/>
      <c r="D12" s="1"/>
      <c r="E12" s="1"/>
      <c r="F12" s="1"/>
      <c r="G12" s="1" t="s">
        <v>70</v>
      </c>
      <c r="H12" s="1" t="s">
        <v>50</v>
      </c>
      <c r="I12" s="2"/>
      <c r="J12" s="1" t="s">
        <v>70</v>
      </c>
      <c r="K12" s="2">
        <v>46245</v>
      </c>
      <c r="L12" s="3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4">
        <v>2</v>
      </c>
      <c r="S12" s="1" t="s">
        <v>26</v>
      </c>
      <c r="T12" s="2">
        <v>46245</v>
      </c>
      <c r="U12" s="1" t="s">
        <v>27</v>
      </c>
      <c r="V12" s="1" t="s">
        <v>28</v>
      </c>
      <c r="W12" s="1"/>
      <c r="X12" s="1" t="s">
        <v>29</v>
      </c>
      <c r="Y12" s="1" t="s">
        <v>30</v>
      </c>
      <c r="Z12" s="1" t="s">
        <v>404</v>
      </c>
      <c r="AA12" s="1" t="str">
        <f>IFERROR(VLOOKUP(Tabela2[[#This Row],[Natureza]],Tabela4[[#All],[NATUREZA]:[CATEGORIA]],6,FALSE),"")</f>
        <v>Impostos/Tributos e Taxas</v>
      </c>
    </row>
    <row r="13" spans="1:27" ht="15.75" x14ac:dyDescent="0.25">
      <c r="A13">
        <f>IF(Tabela2[[#This Row],[Natureza]]&lt;&gt;"",ROW(Tabela2[[#This Row],[Natureza]])-1)</f>
        <v>12</v>
      </c>
      <c r="B13" s="1" t="s">
        <v>72</v>
      </c>
      <c r="C13" s="1" t="s">
        <v>87</v>
      </c>
      <c r="D13" s="1"/>
      <c r="E13" s="1" t="s">
        <v>74</v>
      </c>
      <c r="F13" s="1" t="s">
        <v>88</v>
      </c>
      <c r="G13" s="1" t="s">
        <v>89</v>
      </c>
      <c r="H13" s="1" t="s">
        <v>90</v>
      </c>
      <c r="I13" s="2">
        <v>46251</v>
      </c>
      <c r="J13" s="1" t="s">
        <v>91</v>
      </c>
      <c r="K13" s="2">
        <v>46251</v>
      </c>
      <c r="L13" s="3">
        <v>850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4">
        <v>850</v>
      </c>
      <c r="S13" s="1" t="s">
        <v>26</v>
      </c>
      <c r="T13" s="2">
        <v>46251</v>
      </c>
      <c r="U13" s="1" t="s">
        <v>79</v>
      </c>
      <c r="V13" s="1" t="s">
        <v>28</v>
      </c>
      <c r="W13" s="1"/>
      <c r="X13" s="1" t="s">
        <v>29</v>
      </c>
      <c r="Y13" s="1" t="s">
        <v>30</v>
      </c>
      <c r="Z13" s="1" t="s">
        <v>404</v>
      </c>
      <c r="AA13" s="1" t="str">
        <f>IFERROR(VLOOKUP(Tabela2[[#This Row],[Natureza]],Tabela4[[#All],[NATUREZA]:[CATEGORIA]],6,FALSE),"")</f>
        <v>Serviços de Terceiros</v>
      </c>
    </row>
    <row r="14" spans="1:27" ht="15.75" x14ac:dyDescent="0.25">
      <c r="A14">
        <f>IF(Tabela2[[#This Row],[Natureza]]&lt;&gt;"",ROW(Tabela2[[#This Row],[Natureza]])-1)</f>
        <v>13</v>
      </c>
      <c r="B14" s="1" t="s">
        <v>72</v>
      </c>
      <c r="C14" s="1" t="s">
        <v>92</v>
      </c>
      <c r="D14" s="1"/>
      <c r="E14" s="1" t="s">
        <v>74</v>
      </c>
      <c r="F14" s="1" t="s">
        <v>93</v>
      </c>
      <c r="G14" s="1" t="s">
        <v>94</v>
      </c>
      <c r="H14" s="1" t="s">
        <v>95</v>
      </c>
      <c r="I14" s="2">
        <v>46251</v>
      </c>
      <c r="J14" s="1" t="s">
        <v>96</v>
      </c>
      <c r="K14" s="2">
        <v>46251</v>
      </c>
      <c r="L14" s="3">
        <v>520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4">
        <v>520</v>
      </c>
      <c r="S14" s="1" t="s">
        <v>26</v>
      </c>
      <c r="T14" s="2">
        <v>46251</v>
      </c>
      <c r="U14" s="1" t="s">
        <v>79</v>
      </c>
      <c r="V14" s="1" t="s">
        <v>28</v>
      </c>
      <c r="W14" s="1"/>
      <c r="X14" s="1" t="s">
        <v>29</v>
      </c>
      <c r="Y14" s="1" t="s">
        <v>30</v>
      </c>
      <c r="Z14" s="1" t="s">
        <v>404</v>
      </c>
      <c r="AA14" s="1" t="str">
        <f>IFERROR(VLOOKUP(Tabela2[[#This Row],[Natureza]],Tabela4[[#All],[NATUREZA]:[CATEGORIA]],6,FALSE),"")</f>
        <v>Serviços de Terceiros</v>
      </c>
    </row>
    <row r="15" spans="1:27" ht="15.75" x14ac:dyDescent="0.25">
      <c r="A15">
        <f>IF(Tabela2[[#This Row],[Natureza]]&lt;&gt;"",ROW(Tabela2[[#This Row],[Natureza]])-1)</f>
        <v>14</v>
      </c>
      <c r="B15" s="1"/>
      <c r="C15" s="1"/>
      <c r="D15" s="1"/>
      <c r="E15" s="1"/>
      <c r="F15" s="1"/>
      <c r="G15" s="1"/>
      <c r="H15" s="12" t="s">
        <v>473</v>
      </c>
      <c r="I15" s="2"/>
      <c r="J15" s="1" t="s">
        <v>31</v>
      </c>
      <c r="K15" s="2">
        <v>46251</v>
      </c>
      <c r="L15" s="3">
        <v>103200.85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4">
        <v>103200.85</v>
      </c>
      <c r="S15" s="1" t="s">
        <v>26</v>
      </c>
      <c r="T15" s="2">
        <v>46251</v>
      </c>
      <c r="U15" s="1" t="s">
        <v>27</v>
      </c>
      <c r="V15" s="1" t="s">
        <v>28</v>
      </c>
      <c r="W15" s="1"/>
      <c r="X15" s="1" t="s">
        <v>29</v>
      </c>
      <c r="Y15" s="1" t="s">
        <v>30</v>
      </c>
      <c r="Z15" s="1" t="s">
        <v>404</v>
      </c>
      <c r="AA15" s="1" t="str">
        <f>IFERROR(VLOOKUP(Tabela2[[#This Row],[Natureza]],Tabela4[[#All],[NATUREZA]:[CATEGORIA]],6,FALSE),"")</f>
        <v>CONTAMAX</v>
      </c>
    </row>
    <row r="16" spans="1:27" ht="15.75" x14ac:dyDescent="0.25">
      <c r="A16">
        <f>IF(Tabela2[[#This Row],[Natureza]]&lt;&gt;"",ROW(Tabela2[[#This Row],[Natureza]])-1)</f>
        <v>15</v>
      </c>
      <c r="B16" s="1" t="s">
        <v>34</v>
      </c>
      <c r="C16" s="1" t="s">
        <v>99</v>
      </c>
      <c r="D16" s="1"/>
      <c r="E16" s="1" t="s">
        <v>56</v>
      </c>
      <c r="F16" s="1" t="s">
        <v>100</v>
      </c>
      <c r="G16" s="1" t="s">
        <v>101</v>
      </c>
      <c r="H16" s="1" t="s">
        <v>102</v>
      </c>
      <c r="I16" s="2">
        <v>46253</v>
      </c>
      <c r="J16" s="1" t="s">
        <v>103</v>
      </c>
      <c r="K16" s="2">
        <v>46253</v>
      </c>
      <c r="L16" s="3">
        <v>10000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4">
        <v>10000</v>
      </c>
      <c r="S16" s="1" t="s">
        <v>26</v>
      </c>
      <c r="T16" s="2">
        <v>46253</v>
      </c>
      <c r="U16" s="1" t="s">
        <v>27</v>
      </c>
      <c r="V16" s="1" t="s">
        <v>28</v>
      </c>
      <c r="W16" s="1"/>
      <c r="X16" s="1" t="s">
        <v>29</v>
      </c>
      <c r="Y16" s="1" t="s">
        <v>30</v>
      </c>
      <c r="Z16" s="1" t="s">
        <v>404</v>
      </c>
      <c r="AA16" s="1" t="str">
        <f>IFERROR(VLOOKUP(Tabela2[[#This Row],[Natureza]],Tabela4[[#All],[NATUREZA]:[CATEGORIA]],6,FALSE),"")</f>
        <v>Reembolso/Prestação de Contas</v>
      </c>
    </row>
    <row r="17" spans="1:27" ht="15.75" x14ac:dyDescent="0.25">
      <c r="A17">
        <f>IF(Tabela2[[#This Row],[Natureza]]&lt;&gt;"",ROW(Tabela2[[#This Row],[Natureza]])-1)</f>
        <v>16</v>
      </c>
      <c r="B17" s="1" t="s">
        <v>72</v>
      </c>
      <c r="C17" s="1" t="s">
        <v>104</v>
      </c>
      <c r="D17" s="1" t="s">
        <v>105</v>
      </c>
      <c r="E17" s="1" t="s">
        <v>74</v>
      </c>
      <c r="F17" s="1" t="s">
        <v>106</v>
      </c>
      <c r="G17" s="1" t="s">
        <v>107</v>
      </c>
      <c r="H17" s="1" t="s">
        <v>108</v>
      </c>
      <c r="I17" s="2">
        <v>46253</v>
      </c>
      <c r="J17" s="1" t="s">
        <v>109</v>
      </c>
      <c r="K17" s="2">
        <v>46253</v>
      </c>
      <c r="L17" s="3">
        <v>113594.86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4">
        <v>100262.39999999999</v>
      </c>
      <c r="S17" s="1" t="s">
        <v>26</v>
      </c>
      <c r="T17" s="2">
        <v>46253</v>
      </c>
      <c r="U17" s="1" t="s">
        <v>79</v>
      </c>
      <c r="V17" s="1" t="s">
        <v>28</v>
      </c>
      <c r="W17" s="1"/>
      <c r="X17" s="1" t="s">
        <v>29</v>
      </c>
      <c r="Y17" s="1" t="s">
        <v>30</v>
      </c>
      <c r="Z17" s="1" t="s">
        <v>404</v>
      </c>
      <c r="AA17" s="1" t="str">
        <f>IFERROR(VLOOKUP(Tabela2[[#This Row],[Natureza]],Tabela4[[#All],[NATUREZA]:[CATEGORIA]],6,FALSE),"")</f>
        <v>Serviços de Terceiros</v>
      </c>
    </row>
    <row r="18" spans="1:27" ht="15.75" x14ac:dyDescent="0.25">
      <c r="A18">
        <f>IF(Tabela2[[#This Row],[Natureza]]&lt;&gt;"",ROW(Tabela2[[#This Row],[Natureza]])-1)</f>
        <v>17</v>
      </c>
      <c r="B18" s="1"/>
      <c r="C18" s="1"/>
      <c r="D18" s="1"/>
      <c r="E18" s="1"/>
      <c r="F18" s="1"/>
      <c r="G18" s="1" t="s">
        <v>70</v>
      </c>
      <c r="H18" s="1" t="s">
        <v>50</v>
      </c>
      <c r="I18" s="2"/>
      <c r="J18" s="1" t="s">
        <v>70</v>
      </c>
      <c r="K18" s="2">
        <v>46253</v>
      </c>
      <c r="L18" s="3">
        <v>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4">
        <v>9</v>
      </c>
      <c r="S18" s="1" t="s">
        <v>26</v>
      </c>
      <c r="T18" s="2">
        <v>46253</v>
      </c>
      <c r="U18" s="1" t="s">
        <v>27</v>
      </c>
      <c r="V18" s="1" t="s">
        <v>28</v>
      </c>
      <c r="W18" s="1"/>
      <c r="X18" s="1" t="s">
        <v>29</v>
      </c>
      <c r="Y18" s="1" t="s">
        <v>30</v>
      </c>
      <c r="Z18" s="1" t="s">
        <v>404</v>
      </c>
      <c r="AA18" s="1" t="str">
        <f>IFERROR(VLOOKUP(Tabela2[[#This Row],[Natureza]],Tabela4[[#All],[NATUREZA]:[CATEGORIA]],6,FALSE),"")</f>
        <v>Impostos/Tributos e Taxas</v>
      </c>
    </row>
    <row r="19" spans="1:27" ht="15.75" x14ac:dyDescent="0.25">
      <c r="A19">
        <f>IF(Tabela2[[#This Row],[Natureza]]&lt;&gt;"",ROW(Tabela2[[#This Row],[Natureza]])-1)</f>
        <v>18</v>
      </c>
      <c r="B19" s="1"/>
      <c r="C19" s="1"/>
      <c r="D19" s="1"/>
      <c r="E19" s="1"/>
      <c r="F19" s="1"/>
      <c r="G19" s="1" t="s">
        <v>70</v>
      </c>
      <c r="H19" s="1" t="s">
        <v>50</v>
      </c>
      <c r="I19" s="2"/>
      <c r="J19" s="1" t="s">
        <v>70</v>
      </c>
      <c r="K19" s="2">
        <v>46254</v>
      </c>
      <c r="L19" s="3">
        <v>18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4">
        <v>18</v>
      </c>
      <c r="S19" s="1" t="s">
        <v>26</v>
      </c>
      <c r="T19" s="2">
        <v>46254</v>
      </c>
      <c r="U19" s="1" t="s">
        <v>27</v>
      </c>
      <c r="V19" s="1" t="s">
        <v>28</v>
      </c>
      <c r="W19" s="1"/>
      <c r="X19" s="1" t="s">
        <v>29</v>
      </c>
      <c r="Y19" s="1" t="s">
        <v>30</v>
      </c>
      <c r="Z19" s="1" t="s">
        <v>404</v>
      </c>
      <c r="AA19" s="1" t="str">
        <f>IFERROR(VLOOKUP(Tabela2[[#This Row],[Natureza]],Tabela4[[#All],[NATUREZA]:[CATEGORIA]],6,FALSE),"")</f>
        <v>Impostos/Tributos e Taxas</v>
      </c>
    </row>
    <row r="20" spans="1:27" ht="15.75" x14ac:dyDescent="0.25">
      <c r="A20">
        <f>IF(Tabela2[[#This Row],[Natureza]]&lt;&gt;"",ROW(Tabela2[[#This Row],[Natureza]])-1)</f>
        <v>19</v>
      </c>
      <c r="B20" s="1" t="s">
        <v>72</v>
      </c>
      <c r="C20" s="1" t="s">
        <v>113</v>
      </c>
      <c r="D20" s="1" t="s">
        <v>105</v>
      </c>
      <c r="E20" s="1" t="s">
        <v>74</v>
      </c>
      <c r="F20" s="1" t="s">
        <v>114</v>
      </c>
      <c r="G20" s="1" t="s">
        <v>115</v>
      </c>
      <c r="H20" s="1" t="s">
        <v>116</v>
      </c>
      <c r="I20" s="2">
        <v>46258</v>
      </c>
      <c r="J20" s="1" t="s">
        <v>117</v>
      </c>
      <c r="K20" s="2">
        <v>46258</v>
      </c>
      <c r="L20" s="3">
        <v>1086.8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4">
        <v>1086.8</v>
      </c>
      <c r="S20" s="1" t="s">
        <v>26</v>
      </c>
      <c r="T20" s="2">
        <v>46258</v>
      </c>
      <c r="U20" s="1" t="s">
        <v>79</v>
      </c>
      <c r="V20" s="1" t="s">
        <v>28</v>
      </c>
      <c r="W20" s="1"/>
      <c r="X20" s="1" t="s">
        <v>29</v>
      </c>
      <c r="Y20" s="1" t="s">
        <v>30</v>
      </c>
      <c r="Z20" s="1" t="s">
        <v>404</v>
      </c>
      <c r="AA20" s="1" t="str">
        <f>IFERROR(VLOOKUP(Tabela2[[#This Row],[Natureza]],Tabela4[[#All],[NATUREZA]:[CATEGORIA]],6,FALSE),"")</f>
        <v>Folha e Benefícios</v>
      </c>
    </row>
    <row r="21" spans="1:27" ht="15.75" x14ac:dyDescent="0.25">
      <c r="A21">
        <f>IF(Tabela2[[#This Row],[Natureza]]&lt;&gt;"",ROW(Tabela2[[#This Row],[Natureza]])-1)</f>
        <v>20</v>
      </c>
      <c r="B21" s="1" t="s">
        <v>72</v>
      </c>
      <c r="C21" s="1" t="s">
        <v>113</v>
      </c>
      <c r="D21" s="1" t="s">
        <v>118</v>
      </c>
      <c r="E21" s="1" t="s">
        <v>74</v>
      </c>
      <c r="F21" s="1" t="s">
        <v>114</v>
      </c>
      <c r="G21" s="1" t="s">
        <v>115</v>
      </c>
      <c r="H21" s="1" t="s">
        <v>116</v>
      </c>
      <c r="I21" s="2">
        <v>46258</v>
      </c>
      <c r="J21" s="1" t="s">
        <v>117</v>
      </c>
      <c r="K21" s="2">
        <v>46258</v>
      </c>
      <c r="L21" s="3">
        <v>57.2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4">
        <v>57.2</v>
      </c>
      <c r="S21" s="1" t="s">
        <v>26</v>
      </c>
      <c r="T21" s="2">
        <v>46258</v>
      </c>
      <c r="U21" s="1" t="s">
        <v>79</v>
      </c>
      <c r="V21" s="1" t="s">
        <v>28</v>
      </c>
      <c r="W21" s="1"/>
      <c r="X21" s="1" t="s">
        <v>29</v>
      </c>
      <c r="Y21" s="1" t="s">
        <v>30</v>
      </c>
      <c r="Z21" s="1" t="s">
        <v>404</v>
      </c>
      <c r="AA21" s="1" t="str">
        <f>IFERROR(VLOOKUP(Tabela2[[#This Row],[Natureza]],Tabela4[[#All],[NATUREZA]:[CATEGORIA]],6,FALSE),"")</f>
        <v>Folha e Benefícios</v>
      </c>
    </row>
    <row r="22" spans="1:27" ht="15.75" x14ac:dyDescent="0.25">
      <c r="A22">
        <f>IF(Tabela2[[#This Row],[Natureza]]&lt;&gt;"",ROW(Tabela2[[#This Row],[Natureza]])-1)</f>
        <v>21</v>
      </c>
      <c r="B22" s="1" t="s">
        <v>72</v>
      </c>
      <c r="C22" s="1" t="s">
        <v>119</v>
      </c>
      <c r="D22" s="1"/>
      <c r="E22" s="1" t="s">
        <v>74</v>
      </c>
      <c r="F22" s="1" t="s">
        <v>120</v>
      </c>
      <c r="G22" s="1" t="s">
        <v>121</v>
      </c>
      <c r="H22" s="1" t="s">
        <v>116</v>
      </c>
      <c r="I22" s="2">
        <v>46258</v>
      </c>
      <c r="J22" s="1" t="s">
        <v>122</v>
      </c>
      <c r="K22" s="2">
        <v>46258</v>
      </c>
      <c r="L22" s="3">
        <v>5192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4">
        <v>5192</v>
      </c>
      <c r="S22" s="1" t="s">
        <v>26</v>
      </c>
      <c r="T22" s="2">
        <v>46258</v>
      </c>
      <c r="U22" s="1" t="s">
        <v>79</v>
      </c>
      <c r="V22" s="1" t="s">
        <v>28</v>
      </c>
      <c r="W22" s="1"/>
      <c r="X22" s="1" t="s">
        <v>29</v>
      </c>
      <c r="Y22" s="1" t="s">
        <v>30</v>
      </c>
      <c r="Z22" s="1" t="s">
        <v>404</v>
      </c>
      <c r="AA22" s="1" t="str">
        <f>IFERROR(VLOOKUP(Tabela2[[#This Row],[Natureza]],Tabela4[[#All],[NATUREZA]:[CATEGORIA]],6,FALSE),"")</f>
        <v>Folha e Benefícios</v>
      </c>
    </row>
    <row r="23" spans="1:27" ht="15.75" x14ac:dyDescent="0.25">
      <c r="A23">
        <f>IF(Tabela2[[#This Row],[Natureza]]&lt;&gt;"",ROW(Tabela2[[#This Row],[Natureza]])-1)</f>
        <v>22</v>
      </c>
      <c r="B23" s="1" t="s">
        <v>34</v>
      </c>
      <c r="C23" s="1" t="s">
        <v>123</v>
      </c>
      <c r="D23" s="1"/>
      <c r="E23" s="1" t="s">
        <v>56</v>
      </c>
      <c r="F23" s="1" t="s">
        <v>124</v>
      </c>
      <c r="G23" s="1" t="s">
        <v>125</v>
      </c>
      <c r="H23" s="1" t="s">
        <v>126</v>
      </c>
      <c r="I23" s="2">
        <v>46258</v>
      </c>
      <c r="J23" s="1" t="s">
        <v>127</v>
      </c>
      <c r="K23" s="2">
        <v>46258</v>
      </c>
      <c r="L23" s="3">
        <v>15000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4">
        <v>15000</v>
      </c>
      <c r="S23" s="1" t="s">
        <v>26</v>
      </c>
      <c r="T23" s="2">
        <v>46258</v>
      </c>
      <c r="U23" s="1" t="s">
        <v>27</v>
      </c>
      <c r="V23" s="1" t="s">
        <v>28</v>
      </c>
      <c r="W23" s="1"/>
      <c r="X23" s="1" t="s">
        <v>29</v>
      </c>
      <c r="Y23" s="1" t="s">
        <v>30</v>
      </c>
      <c r="Z23" s="1" t="s">
        <v>404</v>
      </c>
      <c r="AA23" s="1" t="str">
        <f>IFERROR(VLOOKUP(Tabela2[[#This Row],[Natureza]],Tabela4[[#All],[NATUREZA]:[CATEGORIA]],6,FALSE),"")</f>
        <v>Locação de Imóveis</v>
      </c>
    </row>
    <row r="24" spans="1:27" ht="15.75" x14ac:dyDescent="0.25">
      <c r="A24">
        <f>IF(Tabela2[[#This Row],[Natureza]]&lt;&gt;"",ROW(Tabela2[[#This Row],[Natureza]])-1)</f>
        <v>23</v>
      </c>
      <c r="B24" s="1"/>
      <c r="C24" s="1"/>
      <c r="D24" s="1"/>
      <c r="E24" s="1"/>
      <c r="F24" s="1"/>
      <c r="G24" s="1" t="s">
        <v>70</v>
      </c>
      <c r="H24" s="1" t="s">
        <v>50</v>
      </c>
      <c r="I24" s="2"/>
      <c r="J24" s="1" t="s">
        <v>70</v>
      </c>
      <c r="K24" s="2">
        <v>46259</v>
      </c>
      <c r="L24" s="3">
        <v>9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4">
        <v>9</v>
      </c>
      <c r="S24" s="1" t="s">
        <v>26</v>
      </c>
      <c r="T24" s="2">
        <v>46259</v>
      </c>
      <c r="U24" s="1" t="s">
        <v>27</v>
      </c>
      <c r="V24" s="1" t="s">
        <v>28</v>
      </c>
      <c r="W24" s="1"/>
      <c r="X24" s="1" t="s">
        <v>29</v>
      </c>
      <c r="Y24" s="1" t="s">
        <v>30</v>
      </c>
      <c r="Z24" s="1" t="s">
        <v>404</v>
      </c>
      <c r="AA24" s="1" t="str">
        <f>IFERROR(VLOOKUP(Tabela2[[#This Row],[Natureza]],Tabela4[[#All],[NATUREZA]:[CATEGORIA]],6,FALSE),"")</f>
        <v>Impostos/Tributos e Taxas</v>
      </c>
    </row>
    <row r="25" spans="1:27" ht="15.75" x14ac:dyDescent="0.25">
      <c r="A25">
        <f>IF(Tabela2[[#This Row],[Natureza]]&lt;&gt;"",ROW(Tabela2[[#This Row],[Natureza]])-1)</f>
        <v>24</v>
      </c>
      <c r="B25" s="1"/>
      <c r="C25" s="1"/>
      <c r="D25" s="1"/>
      <c r="E25" s="1"/>
      <c r="F25" s="1"/>
      <c r="G25" s="1" t="s">
        <v>70</v>
      </c>
      <c r="H25" s="1" t="s">
        <v>50</v>
      </c>
      <c r="I25" s="2"/>
      <c r="J25" s="1" t="s">
        <v>130</v>
      </c>
      <c r="K25" s="2">
        <v>46260</v>
      </c>
      <c r="L25" s="3">
        <v>99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4">
        <v>99</v>
      </c>
      <c r="S25" s="1" t="s">
        <v>26</v>
      </c>
      <c r="T25" s="2">
        <v>46260</v>
      </c>
      <c r="U25" s="1" t="s">
        <v>27</v>
      </c>
      <c r="V25" s="1" t="s">
        <v>28</v>
      </c>
      <c r="W25" s="1"/>
      <c r="X25" s="1" t="s">
        <v>29</v>
      </c>
      <c r="Y25" s="1" t="s">
        <v>30</v>
      </c>
      <c r="Z25" s="1" t="s">
        <v>404</v>
      </c>
      <c r="AA25" s="1" t="str">
        <f>IFERROR(VLOOKUP(Tabela2[[#This Row],[Natureza]],Tabela4[[#All],[NATUREZA]:[CATEGORIA]],6,FALSE),"")</f>
        <v>Impostos/Tributos e Taxas</v>
      </c>
    </row>
    <row r="26" spans="1:27" ht="15.75" x14ac:dyDescent="0.25">
      <c r="A26">
        <f>IF(Tabela2[[#This Row],[Natureza]]&lt;&gt;"",ROW(Tabela2[[#This Row],[Natureza]])-1)</f>
        <v>25</v>
      </c>
      <c r="B26" s="1"/>
      <c r="C26" s="1"/>
      <c r="D26" s="1"/>
      <c r="E26" s="1"/>
      <c r="F26" s="1"/>
      <c r="G26" s="1"/>
      <c r="H26" s="12" t="s">
        <v>473</v>
      </c>
      <c r="I26" s="2"/>
      <c r="J26" s="1" t="s">
        <v>31</v>
      </c>
      <c r="K26" s="2">
        <v>46260</v>
      </c>
      <c r="L26" s="3">
        <v>85208.14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4">
        <v>85208.14</v>
      </c>
      <c r="S26" s="1" t="s">
        <v>26</v>
      </c>
      <c r="T26" s="2">
        <v>46260</v>
      </c>
      <c r="U26" s="1" t="s">
        <v>27</v>
      </c>
      <c r="V26" s="1" t="s">
        <v>28</v>
      </c>
      <c r="W26" s="1"/>
      <c r="X26" s="1" t="s">
        <v>29</v>
      </c>
      <c r="Y26" s="1" t="s">
        <v>30</v>
      </c>
      <c r="Z26" s="1" t="s">
        <v>404</v>
      </c>
      <c r="AA26" s="1" t="str">
        <f>IFERROR(VLOOKUP(Tabela2[[#This Row],[Natureza]],Tabela4[[#All],[NATUREZA]:[CATEGORIA]],6,FALSE),"")</f>
        <v>CONTAMAX</v>
      </c>
    </row>
    <row r="27" spans="1:27" ht="15.75" x14ac:dyDescent="0.25">
      <c r="A27">
        <f>IF(Tabela2[[#This Row],[Natureza]]&lt;&gt;"",ROW(Tabela2[[#This Row],[Natureza]])-1)</f>
        <v>26</v>
      </c>
      <c r="B27" s="1" t="s">
        <v>72</v>
      </c>
      <c r="C27" s="1" t="s">
        <v>133</v>
      </c>
      <c r="D27" s="1" t="s">
        <v>105</v>
      </c>
      <c r="E27" s="1" t="s">
        <v>74</v>
      </c>
      <c r="F27" s="1" t="s">
        <v>134</v>
      </c>
      <c r="G27" s="1" t="s">
        <v>135</v>
      </c>
      <c r="H27" s="8" t="s">
        <v>102</v>
      </c>
      <c r="I27" s="2">
        <v>46261</v>
      </c>
      <c r="J27" s="1" t="s">
        <v>137</v>
      </c>
      <c r="K27" s="2">
        <v>46261</v>
      </c>
      <c r="L27" s="3">
        <v>854.11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4">
        <v>854.11</v>
      </c>
      <c r="S27" s="1" t="s">
        <v>26</v>
      </c>
      <c r="T27" s="2">
        <v>46261</v>
      </c>
      <c r="U27" s="1" t="s">
        <v>79</v>
      </c>
      <c r="V27" s="1" t="s">
        <v>28</v>
      </c>
      <c r="W27" s="1"/>
      <c r="X27" s="1" t="s">
        <v>29</v>
      </c>
      <c r="Y27" s="1" t="s">
        <v>30</v>
      </c>
      <c r="Z27" s="1" t="s">
        <v>404</v>
      </c>
      <c r="AA27" s="1" t="str">
        <f>IFERROR(VLOOKUP(Tabela2[[#This Row],[Natureza]],Tabela4[[#All],[NATUREZA]:[CATEGORIA]],6,FALSE),"")</f>
        <v>Reembolso/Prestação de Contas</v>
      </c>
    </row>
    <row r="28" spans="1:27" ht="15.75" x14ac:dyDescent="0.25">
      <c r="A28">
        <f>IF(Tabela2[[#This Row],[Natureza]]&lt;&gt;"",ROW(Tabela2[[#This Row],[Natureza]])-1)</f>
        <v>27</v>
      </c>
      <c r="B28" s="1" t="s">
        <v>72</v>
      </c>
      <c r="C28" s="1" t="s">
        <v>133</v>
      </c>
      <c r="D28" s="1" t="s">
        <v>118</v>
      </c>
      <c r="E28" s="1" t="s">
        <v>74</v>
      </c>
      <c r="F28" s="1" t="s">
        <v>134</v>
      </c>
      <c r="G28" s="1" t="s">
        <v>135</v>
      </c>
      <c r="H28" s="8" t="s">
        <v>102</v>
      </c>
      <c r="I28" s="2">
        <v>46261</v>
      </c>
      <c r="J28" s="1" t="s">
        <v>137</v>
      </c>
      <c r="K28" s="2">
        <v>46261</v>
      </c>
      <c r="L28" s="3">
        <v>44.95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4">
        <v>44.95</v>
      </c>
      <c r="S28" s="1" t="s">
        <v>26</v>
      </c>
      <c r="T28" s="2">
        <v>46261</v>
      </c>
      <c r="U28" s="1" t="s">
        <v>79</v>
      </c>
      <c r="V28" s="1" t="s">
        <v>28</v>
      </c>
      <c r="W28" s="1"/>
      <c r="X28" s="1" t="s">
        <v>29</v>
      </c>
      <c r="Y28" s="1" t="s">
        <v>30</v>
      </c>
      <c r="Z28" s="1" t="s">
        <v>404</v>
      </c>
      <c r="AA28" s="1" t="str">
        <f>IFERROR(VLOOKUP(Tabela2[[#This Row],[Natureza]],Tabela4[[#All],[NATUREZA]:[CATEGORIA]],6,FALSE),"")</f>
        <v>Reembolso/Prestação de Contas</v>
      </c>
    </row>
    <row r="29" spans="1:27" ht="15.75" x14ac:dyDescent="0.25">
      <c r="A29">
        <f>IF(Tabela2[[#This Row],[Natureza]]&lt;&gt;"",ROW(Tabela2[[#This Row],[Natureza]])-1)</f>
        <v>28</v>
      </c>
      <c r="B29" s="1" t="s">
        <v>72</v>
      </c>
      <c r="C29" s="1" t="s">
        <v>138</v>
      </c>
      <c r="D29" s="1" t="s">
        <v>81</v>
      </c>
      <c r="E29" s="1" t="s">
        <v>74</v>
      </c>
      <c r="F29" s="1" t="s">
        <v>82</v>
      </c>
      <c r="G29" s="1" t="s">
        <v>83</v>
      </c>
      <c r="H29" s="1" t="s">
        <v>84</v>
      </c>
      <c r="I29" s="2">
        <v>46261</v>
      </c>
      <c r="J29" s="1" t="s">
        <v>139</v>
      </c>
      <c r="K29" s="2">
        <v>46261</v>
      </c>
      <c r="L29" s="3">
        <v>44593.55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4">
        <v>44593.55</v>
      </c>
      <c r="S29" s="1" t="s">
        <v>26</v>
      </c>
      <c r="T29" s="2">
        <v>46261</v>
      </c>
      <c r="U29" s="1" t="s">
        <v>79</v>
      </c>
      <c r="V29" s="1" t="s">
        <v>28</v>
      </c>
      <c r="W29" s="1"/>
      <c r="X29" s="1" t="s">
        <v>29</v>
      </c>
      <c r="Y29" s="1" t="s">
        <v>30</v>
      </c>
      <c r="Z29" s="1" t="s">
        <v>404</v>
      </c>
      <c r="AA29" s="1" t="str">
        <f>IFERROR(VLOOKUP(Tabela2[[#This Row],[Natureza]],Tabela4[[#All],[NATUREZA]:[CATEGORIA]],6,FALSE),"")</f>
        <v>Seguros</v>
      </c>
    </row>
    <row r="30" spans="1:27" ht="15.75" x14ac:dyDescent="0.25">
      <c r="A30">
        <f>IF(Tabela2[[#This Row],[Natureza]]&lt;&gt;"",ROW(Tabela2[[#This Row],[Natureza]])-1)</f>
        <v>29</v>
      </c>
      <c r="B30" s="1" t="s">
        <v>72</v>
      </c>
      <c r="C30" s="1" t="s">
        <v>140</v>
      </c>
      <c r="D30" s="1" t="s">
        <v>81</v>
      </c>
      <c r="E30" s="1" t="s">
        <v>74</v>
      </c>
      <c r="F30" s="1" t="s">
        <v>82</v>
      </c>
      <c r="G30" s="1" t="s">
        <v>83</v>
      </c>
      <c r="H30" s="1" t="s">
        <v>84</v>
      </c>
      <c r="I30" s="2">
        <v>46261</v>
      </c>
      <c r="J30" s="1" t="s">
        <v>141</v>
      </c>
      <c r="K30" s="2">
        <v>46261</v>
      </c>
      <c r="L30" s="3">
        <v>11148.39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4">
        <v>11148.39</v>
      </c>
      <c r="S30" s="1" t="s">
        <v>26</v>
      </c>
      <c r="T30" s="2">
        <v>46261</v>
      </c>
      <c r="U30" s="1" t="s">
        <v>79</v>
      </c>
      <c r="V30" s="1" t="s">
        <v>28</v>
      </c>
      <c r="W30" s="1"/>
      <c r="X30" s="1" t="s">
        <v>29</v>
      </c>
      <c r="Y30" s="1" t="s">
        <v>30</v>
      </c>
      <c r="Z30" s="1" t="s">
        <v>404</v>
      </c>
      <c r="AA30" s="1" t="str">
        <f>IFERROR(VLOOKUP(Tabela2[[#This Row],[Natureza]],Tabela4[[#All],[NATUREZA]:[CATEGORIA]],6,FALSE),"")</f>
        <v>Seguros</v>
      </c>
    </row>
    <row r="31" spans="1:27" ht="15.75" x14ac:dyDescent="0.25">
      <c r="A31">
        <f>IF(Tabela2[[#This Row],[Natureza]]&lt;&gt;"",ROW(Tabela2[[#This Row],[Natureza]])-1)</f>
        <v>30</v>
      </c>
      <c r="B31" s="1" t="s">
        <v>72</v>
      </c>
      <c r="C31" s="1" t="s">
        <v>142</v>
      </c>
      <c r="D31" s="1"/>
      <c r="E31" s="1" t="s">
        <v>74</v>
      </c>
      <c r="F31" s="1" t="s">
        <v>143</v>
      </c>
      <c r="G31" s="1" t="s">
        <v>144</v>
      </c>
      <c r="H31" s="1" t="s">
        <v>136</v>
      </c>
      <c r="I31" s="2">
        <v>46261</v>
      </c>
      <c r="J31" s="1" t="s">
        <v>145</v>
      </c>
      <c r="K31" s="2">
        <v>46261</v>
      </c>
      <c r="L31" s="3">
        <v>646.55999999999995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4">
        <v>646.55999999999995</v>
      </c>
      <c r="S31" s="1" t="s">
        <v>26</v>
      </c>
      <c r="T31" s="2">
        <v>46261</v>
      </c>
      <c r="U31" s="1" t="s">
        <v>79</v>
      </c>
      <c r="V31" s="1" t="s">
        <v>28</v>
      </c>
      <c r="W31" s="1"/>
      <c r="X31" s="1" t="s">
        <v>29</v>
      </c>
      <c r="Y31" s="1" t="s">
        <v>30</v>
      </c>
      <c r="Z31" s="1" t="s">
        <v>404</v>
      </c>
      <c r="AA31" s="1" t="str">
        <f>IFERROR(VLOOKUP(Tabela2[[#This Row],[Natureza]],Tabela4[[#All],[NATUREZA]:[CATEGORIA]],6,FALSE),"")</f>
        <v>Transporte/Logística</v>
      </c>
    </row>
    <row r="32" spans="1:27" ht="15.75" x14ac:dyDescent="0.25">
      <c r="A32">
        <f>IF(Tabela2[[#This Row],[Natureza]]&lt;&gt;"",ROW(Tabela2[[#This Row],[Natureza]])-1)</f>
        <v>31</v>
      </c>
      <c r="B32" s="1" t="s">
        <v>72</v>
      </c>
      <c r="C32" s="1" t="s">
        <v>146</v>
      </c>
      <c r="D32" s="1" t="s">
        <v>105</v>
      </c>
      <c r="E32" s="1" t="s">
        <v>74</v>
      </c>
      <c r="F32" s="1" t="s">
        <v>147</v>
      </c>
      <c r="G32" s="1" t="s">
        <v>148</v>
      </c>
      <c r="H32" s="8" t="s">
        <v>102</v>
      </c>
      <c r="I32" s="2">
        <v>46261</v>
      </c>
      <c r="J32" s="1" t="s">
        <v>149</v>
      </c>
      <c r="K32" s="2">
        <v>46261</v>
      </c>
      <c r="L32" s="3">
        <v>1223.3599999999999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4">
        <v>1223.3599999999999</v>
      </c>
      <c r="S32" s="1" t="s">
        <v>26</v>
      </c>
      <c r="T32" s="2">
        <v>46261</v>
      </c>
      <c r="U32" s="1" t="s">
        <v>79</v>
      </c>
      <c r="V32" s="1" t="s">
        <v>28</v>
      </c>
      <c r="W32" s="1"/>
      <c r="X32" s="1" t="s">
        <v>29</v>
      </c>
      <c r="Y32" s="1" t="s">
        <v>30</v>
      </c>
      <c r="Z32" s="1" t="s">
        <v>404</v>
      </c>
      <c r="AA32" s="1" t="str">
        <f>IFERROR(VLOOKUP(Tabela2[[#This Row],[Natureza]],Tabela4[[#All],[NATUREZA]:[CATEGORIA]],6,FALSE),"")</f>
        <v>Reembolso/Prestação de Contas</v>
      </c>
    </row>
    <row r="33" spans="1:27" ht="15.75" x14ac:dyDescent="0.25">
      <c r="A33">
        <f>IF(Tabela2[[#This Row],[Natureza]]&lt;&gt;"",ROW(Tabela2[[#This Row],[Natureza]])-1)</f>
        <v>32</v>
      </c>
      <c r="B33" s="1" t="s">
        <v>72</v>
      </c>
      <c r="C33" s="1" t="s">
        <v>146</v>
      </c>
      <c r="D33" s="1" t="s">
        <v>118</v>
      </c>
      <c r="E33" s="1" t="s">
        <v>74</v>
      </c>
      <c r="F33" s="1" t="s">
        <v>147</v>
      </c>
      <c r="G33" s="1" t="s">
        <v>148</v>
      </c>
      <c r="H33" s="8" t="s">
        <v>102</v>
      </c>
      <c r="I33" s="2">
        <v>46261</v>
      </c>
      <c r="J33" s="1" t="s">
        <v>149</v>
      </c>
      <c r="K33" s="2">
        <v>46261</v>
      </c>
      <c r="L33" s="3">
        <v>64.39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4">
        <v>64.39</v>
      </c>
      <c r="S33" s="1" t="s">
        <v>26</v>
      </c>
      <c r="T33" s="2">
        <v>46261</v>
      </c>
      <c r="U33" s="1" t="s">
        <v>79</v>
      </c>
      <c r="V33" s="1" t="s">
        <v>28</v>
      </c>
      <c r="W33" s="1"/>
      <c r="X33" s="1" t="s">
        <v>29</v>
      </c>
      <c r="Y33" s="1" t="s">
        <v>30</v>
      </c>
      <c r="Z33" s="1" t="s">
        <v>404</v>
      </c>
      <c r="AA33" s="1" t="str">
        <f>IFERROR(VLOOKUP(Tabela2[[#This Row],[Natureza]],Tabela4[[#All],[NATUREZA]:[CATEGORIA]],6,FALSE),"")</f>
        <v>Reembolso/Prestação de Contas</v>
      </c>
    </row>
    <row r="34" spans="1:27" ht="15.75" x14ac:dyDescent="0.25">
      <c r="A34">
        <f>IF(Tabela2[[#This Row],[Natureza]]&lt;&gt;"",ROW(Tabela2[[#This Row],[Natureza]])-1)</f>
        <v>33</v>
      </c>
      <c r="B34" s="1" t="s">
        <v>72</v>
      </c>
      <c r="C34" s="1" t="s">
        <v>150</v>
      </c>
      <c r="D34" s="1" t="s">
        <v>105</v>
      </c>
      <c r="E34" s="1" t="s">
        <v>74</v>
      </c>
      <c r="F34" s="1" t="s">
        <v>151</v>
      </c>
      <c r="G34" s="1" t="s">
        <v>152</v>
      </c>
      <c r="H34" s="1" t="s">
        <v>153</v>
      </c>
      <c r="I34" s="2">
        <v>46261</v>
      </c>
      <c r="J34" s="1" t="s">
        <v>154</v>
      </c>
      <c r="K34" s="2">
        <v>46261</v>
      </c>
      <c r="L34" s="3">
        <v>308.39999999999998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4">
        <v>308.39999999999998</v>
      </c>
      <c r="S34" s="1" t="s">
        <v>26</v>
      </c>
      <c r="T34" s="2">
        <v>46261</v>
      </c>
      <c r="U34" s="1" t="s">
        <v>79</v>
      </c>
      <c r="V34" s="1" t="s">
        <v>28</v>
      </c>
      <c r="W34" s="1"/>
      <c r="X34" s="1" t="s">
        <v>29</v>
      </c>
      <c r="Y34" s="1" t="s">
        <v>30</v>
      </c>
      <c r="Z34" s="1" t="s">
        <v>404</v>
      </c>
      <c r="AA34" s="1" t="str">
        <f>IFERROR(VLOOKUP(Tabela2[[#This Row],[Natureza]],Tabela4[[#All],[NATUREZA]:[CATEGORIA]],6,FALSE),"")</f>
        <v>Impostos/Tributos e Taxas</v>
      </c>
    </row>
    <row r="35" spans="1:27" ht="15.75" x14ac:dyDescent="0.25">
      <c r="A35">
        <f>IF(Tabela2[[#This Row],[Natureza]]&lt;&gt;"",ROW(Tabela2[[#This Row],[Natureza]])-1)</f>
        <v>34</v>
      </c>
      <c r="B35" s="1" t="s">
        <v>72</v>
      </c>
      <c r="C35" s="1" t="s">
        <v>150</v>
      </c>
      <c r="D35" s="1" t="s">
        <v>118</v>
      </c>
      <c r="E35" s="1" t="s">
        <v>74</v>
      </c>
      <c r="F35" s="1" t="s">
        <v>151</v>
      </c>
      <c r="G35" s="1" t="s">
        <v>152</v>
      </c>
      <c r="H35" s="1" t="s">
        <v>153</v>
      </c>
      <c r="I35" s="2">
        <v>46261</v>
      </c>
      <c r="J35" s="1" t="s">
        <v>154</v>
      </c>
      <c r="K35" s="2">
        <v>46261</v>
      </c>
      <c r="L35" s="3">
        <v>16.23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4">
        <v>16.23</v>
      </c>
      <c r="S35" s="1" t="s">
        <v>26</v>
      </c>
      <c r="T35" s="2">
        <v>46261</v>
      </c>
      <c r="U35" s="1" t="s">
        <v>79</v>
      </c>
      <c r="V35" s="1" t="s">
        <v>28</v>
      </c>
      <c r="W35" s="1"/>
      <c r="X35" s="1" t="s">
        <v>29</v>
      </c>
      <c r="Y35" s="1" t="s">
        <v>30</v>
      </c>
      <c r="Z35" s="1" t="s">
        <v>404</v>
      </c>
      <c r="AA35" s="1" t="str">
        <f>IFERROR(VLOOKUP(Tabela2[[#This Row],[Natureza]],Tabela4[[#All],[NATUREZA]:[CATEGORIA]],6,FALSE),"")</f>
        <v>Impostos/Tributos e Taxas</v>
      </c>
    </row>
    <row r="36" spans="1:27" ht="15.75" x14ac:dyDescent="0.25">
      <c r="A36">
        <f>IF(Tabela2[[#This Row],[Natureza]]&lt;&gt;"",ROW(Tabela2[[#This Row],[Natureza]])-1)</f>
        <v>35</v>
      </c>
      <c r="B36" s="1" t="s">
        <v>34</v>
      </c>
      <c r="C36" s="1" t="s">
        <v>155</v>
      </c>
      <c r="D36" s="1"/>
      <c r="E36" s="1" t="s">
        <v>56</v>
      </c>
      <c r="F36" s="1" t="s">
        <v>156</v>
      </c>
      <c r="G36" s="1" t="s">
        <v>157</v>
      </c>
      <c r="H36" s="1" t="s">
        <v>126</v>
      </c>
      <c r="I36" s="2">
        <v>46261</v>
      </c>
      <c r="J36" s="1" t="s">
        <v>127</v>
      </c>
      <c r="K36" s="2">
        <v>46261</v>
      </c>
      <c r="L36" s="3">
        <v>9432.06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4">
        <v>9432.06</v>
      </c>
      <c r="S36" s="1" t="s">
        <v>26</v>
      </c>
      <c r="T36" s="2">
        <v>46261</v>
      </c>
      <c r="U36" s="1" t="s">
        <v>27</v>
      </c>
      <c r="V36" s="1" t="s">
        <v>28</v>
      </c>
      <c r="W36" s="1"/>
      <c r="X36" s="1" t="s">
        <v>29</v>
      </c>
      <c r="Y36" s="1" t="s">
        <v>30</v>
      </c>
      <c r="Z36" s="1" t="s">
        <v>404</v>
      </c>
      <c r="AA36" s="1" t="str">
        <f>IFERROR(VLOOKUP(Tabela2[[#This Row],[Natureza]],Tabela4[[#All],[NATUREZA]:[CATEGORIA]],6,FALSE),"")</f>
        <v>Locação de Imóveis</v>
      </c>
    </row>
    <row r="37" spans="1:27" ht="15.75" x14ac:dyDescent="0.25">
      <c r="A37">
        <f>IF(Tabela2[[#This Row],[Natureza]]&lt;&gt;"",ROW(Tabela2[[#This Row],[Natureza]])-1)</f>
        <v>36</v>
      </c>
      <c r="B37" s="1"/>
      <c r="C37" s="1"/>
      <c r="D37" s="1"/>
      <c r="E37" s="1"/>
      <c r="F37" s="1"/>
      <c r="G37" s="1" t="s">
        <v>70</v>
      </c>
      <c r="H37" s="1" t="s">
        <v>50</v>
      </c>
      <c r="I37" s="2"/>
      <c r="J37" s="1" t="s">
        <v>161</v>
      </c>
      <c r="K37" s="2">
        <v>46262</v>
      </c>
      <c r="L37" s="4">
        <v>29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4">
        <v>29</v>
      </c>
      <c r="S37" s="1" t="s">
        <v>26</v>
      </c>
      <c r="T37" s="2">
        <v>46262</v>
      </c>
      <c r="U37" s="1" t="s">
        <v>27</v>
      </c>
      <c r="V37" s="1" t="s">
        <v>28</v>
      </c>
      <c r="W37" s="1"/>
      <c r="X37" s="1" t="s">
        <v>29</v>
      </c>
      <c r="Y37" s="1" t="s">
        <v>30</v>
      </c>
      <c r="Z37" s="1" t="s">
        <v>404</v>
      </c>
      <c r="AA37" s="1" t="str">
        <f>IFERROR(VLOOKUP(Tabela2[[#This Row],[Natureza]],Tabela4[[#All],[NATUREZA]:[CATEGORIA]],6,FALSE),"")</f>
        <v>Impostos/Tributos e Taxas</v>
      </c>
    </row>
    <row r="38" spans="1:27" ht="15.75" x14ac:dyDescent="0.25">
      <c r="A38">
        <f>IF(Tabela2[[#This Row],[Natureza]]&lt;&gt;"",ROW(Tabela2[[#This Row],[Natureza]])-1)</f>
        <v>37</v>
      </c>
      <c r="B38" s="1" t="s">
        <v>34</v>
      </c>
      <c r="C38" s="1" t="s">
        <v>163</v>
      </c>
      <c r="D38" s="1"/>
      <c r="E38" s="1" t="s">
        <v>56</v>
      </c>
      <c r="F38" s="1" t="s">
        <v>164</v>
      </c>
      <c r="G38" s="1" t="s">
        <v>165</v>
      </c>
      <c r="H38" s="1" t="s">
        <v>126</v>
      </c>
      <c r="I38" s="2">
        <v>46265</v>
      </c>
      <c r="J38" s="1" t="s">
        <v>166</v>
      </c>
      <c r="K38" s="2">
        <v>46265</v>
      </c>
      <c r="L38" s="4">
        <v>15564.87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4">
        <v>15564.87</v>
      </c>
      <c r="S38" s="1" t="s">
        <v>26</v>
      </c>
      <c r="T38" s="2">
        <v>46265</v>
      </c>
      <c r="U38" s="1" t="s">
        <v>27</v>
      </c>
      <c r="V38" s="1" t="s">
        <v>28</v>
      </c>
      <c r="W38" s="1"/>
      <c r="X38" s="1" t="s">
        <v>29</v>
      </c>
      <c r="Y38" s="1" t="s">
        <v>30</v>
      </c>
      <c r="Z38" s="1" t="s">
        <v>404</v>
      </c>
      <c r="AA38" s="1" t="str">
        <f>IFERROR(VLOOKUP(Tabela2[[#This Row],[Natureza]],Tabela4[[#All],[NATUREZA]:[CATEGORIA]],6,FALSE),"")</f>
        <v>Locação de Imóveis</v>
      </c>
    </row>
    <row r="39" spans="1:27" ht="15.75" x14ac:dyDescent="0.25">
      <c r="A39">
        <f>IF(Tabela2[[#This Row],[Natureza]]&lt;&gt;"",ROW(Tabela2[[#This Row],[Natureza]])-1)</f>
        <v>38</v>
      </c>
      <c r="B39" s="1" t="s">
        <v>34</v>
      </c>
      <c r="C39" s="1" t="s">
        <v>167</v>
      </c>
      <c r="D39" s="1"/>
      <c r="E39" s="1" t="s">
        <v>56</v>
      </c>
      <c r="F39" s="1" t="s">
        <v>168</v>
      </c>
      <c r="G39" s="1" t="s">
        <v>169</v>
      </c>
      <c r="H39" s="1" t="s">
        <v>126</v>
      </c>
      <c r="I39" s="2">
        <v>46265</v>
      </c>
      <c r="J39" s="1" t="s">
        <v>170</v>
      </c>
      <c r="K39" s="2">
        <v>46265</v>
      </c>
      <c r="L39" s="4">
        <v>7059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4">
        <v>7059</v>
      </c>
      <c r="S39" s="1" t="s">
        <v>26</v>
      </c>
      <c r="T39" s="2">
        <v>46265</v>
      </c>
      <c r="U39" s="1" t="s">
        <v>27</v>
      </c>
      <c r="V39" s="1" t="s">
        <v>28</v>
      </c>
      <c r="W39" s="1"/>
      <c r="X39" s="1" t="s">
        <v>29</v>
      </c>
      <c r="Y39" s="1" t="s">
        <v>30</v>
      </c>
      <c r="Z39" s="1" t="s">
        <v>404</v>
      </c>
      <c r="AA39" s="1" t="str">
        <f>IFERROR(VLOOKUP(Tabela2[[#This Row],[Natureza]],Tabela4[[#All],[NATUREZA]:[CATEGORIA]],6,FALSE),"")</f>
        <v>Locação de Imóveis</v>
      </c>
    </row>
    <row r="40" spans="1:27" ht="15.75" x14ac:dyDescent="0.25">
      <c r="A40">
        <f>IF(Tabela2[[#This Row],[Natureza]]&lt;&gt;"",ROW(Tabela2[[#This Row],[Natureza]])-1)</f>
        <v>39</v>
      </c>
      <c r="B40" s="1" t="s">
        <v>72</v>
      </c>
      <c r="C40" s="1" t="s">
        <v>171</v>
      </c>
      <c r="D40" s="1"/>
      <c r="E40" s="1" t="s">
        <v>74</v>
      </c>
      <c r="F40" s="1" t="s">
        <v>172</v>
      </c>
      <c r="G40" s="1" t="s">
        <v>173</v>
      </c>
      <c r="H40" s="1" t="s">
        <v>174</v>
      </c>
      <c r="I40" s="2">
        <v>46265</v>
      </c>
      <c r="J40" s="1" t="s">
        <v>175</v>
      </c>
      <c r="K40" s="2">
        <v>46265</v>
      </c>
      <c r="L40" s="4">
        <v>12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4">
        <v>12</v>
      </c>
      <c r="S40" s="1" t="s">
        <v>26</v>
      </c>
      <c r="T40" s="2">
        <v>46265</v>
      </c>
      <c r="U40" s="1" t="s">
        <v>79</v>
      </c>
      <c r="V40" s="1" t="s">
        <v>28</v>
      </c>
      <c r="W40" s="1"/>
      <c r="X40" s="1" t="s">
        <v>29</v>
      </c>
      <c r="Y40" s="1" t="s">
        <v>30</v>
      </c>
      <c r="Z40" s="1" t="s">
        <v>404</v>
      </c>
      <c r="AA40" s="1" t="str">
        <f>IFERROR(VLOOKUP(Tabela2[[#This Row],[Natureza]],Tabela4[[#All],[NATUREZA]:[CATEGORIA]],6,FALSE),"")</f>
        <v>Alimentação</v>
      </c>
    </row>
    <row r="41" spans="1:27" ht="15.75" x14ac:dyDescent="0.25">
      <c r="A41">
        <f>IF(Tabela2[[#This Row],[Natureza]]&lt;&gt;"",ROW(Tabela2[[#This Row],[Natureza]])-1)</f>
        <v>40</v>
      </c>
      <c r="B41" s="1" t="s">
        <v>72</v>
      </c>
      <c r="C41" s="1" t="s">
        <v>176</v>
      </c>
      <c r="D41" s="1"/>
      <c r="E41" s="1" t="s">
        <v>74</v>
      </c>
      <c r="F41" s="1" t="s">
        <v>172</v>
      </c>
      <c r="G41" s="1" t="s">
        <v>173</v>
      </c>
      <c r="H41" s="1" t="s">
        <v>174</v>
      </c>
      <c r="I41" s="2">
        <v>46265</v>
      </c>
      <c r="J41" s="1" t="s">
        <v>177</v>
      </c>
      <c r="K41" s="2">
        <v>46265</v>
      </c>
      <c r="L41" s="4">
        <v>6.5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4">
        <v>6.5</v>
      </c>
      <c r="S41" s="1" t="s">
        <v>26</v>
      </c>
      <c r="T41" s="2">
        <v>46265</v>
      </c>
      <c r="U41" s="1" t="s">
        <v>79</v>
      </c>
      <c r="V41" s="1" t="s">
        <v>28</v>
      </c>
      <c r="W41" s="1"/>
      <c r="X41" s="1" t="s">
        <v>29</v>
      </c>
      <c r="Y41" s="1" t="s">
        <v>30</v>
      </c>
      <c r="Z41" s="1" t="s">
        <v>404</v>
      </c>
      <c r="AA41" s="1" t="str">
        <f>IFERROR(VLOOKUP(Tabela2[[#This Row],[Natureza]],Tabela4[[#All],[NATUREZA]:[CATEGORIA]],6,FALSE),"")</f>
        <v>Alimentação</v>
      </c>
    </row>
    <row r="42" spans="1:27" ht="15.75" x14ac:dyDescent="0.25">
      <c r="A42">
        <f>IF(Tabela2[[#This Row],[Natureza]]&lt;&gt;"",ROW(Tabela2[[#This Row],[Natureza]])-1)</f>
        <v>41</v>
      </c>
      <c r="B42" s="1" t="s">
        <v>72</v>
      </c>
      <c r="C42" s="1" t="s">
        <v>178</v>
      </c>
      <c r="D42" s="1"/>
      <c r="E42" s="1" t="s">
        <v>74</v>
      </c>
      <c r="F42" s="1" t="s">
        <v>172</v>
      </c>
      <c r="G42" s="1" t="s">
        <v>173</v>
      </c>
      <c r="H42" s="1" t="s">
        <v>174</v>
      </c>
      <c r="I42" s="2">
        <v>46265</v>
      </c>
      <c r="J42" s="1" t="s">
        <v>179</v>
      </c>
      <c r="K42" s="2">
        <v>46265</v>
      </c>
      <c r="L42" s="4">
        <v>84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4">
        <v>84</v>
      </c>
      <c r="S42" s="1" t="s">
        <v>26</v>
      </c>
      <c r="T42" s="2">
        <v>46265</v>
      </c>
      <c r="U42" s="1" t="s">
        <v>79</v>
      </c>
      <c r="V42" s="1" t="s">
        <v>28</v>
      </c>
      <c r="W42" s="1"/>
      <c r="X42" s="1" t="s">
        <v>29</v>
      </c>
      <c r="Y42" s="1" t="s">
        <v>30</v>
      </c>
      <c r="Z42" s="1" t="s">
        <v>404</v>
      </c>
      <c r="AA42" s="1" t="str">
        <f>IFERROR(VLOOKUP(Tabela2[[#This Row],[Natureza]],Tabela4[[#All],[NATUREZA]:[CATEGORIA]],6,FALSE),"")</f>
        <v>Alimentação</v>
      </c>
    </row>
    <row r="43" spans="1:27" ht="15.75" x14ac:dyDescent="0.25">
      <c r="A43">
        <f>IF(Tabela2[[#This Row],[Natureza]]&lt;&gt;"",ROW(Tabela2[[#This Row],[Natureza]])-1)</f>
        <v>42</v>
      </c>
      <c r="B43" s="1" t="s">
        <v>72</v>
      </c>
      <c r="C43" s="1" t="s">
        <v>180</v>
      </c>
      <c r="D43" s="1"/>
      <c r="E43" s="1" t="s">
        <v>74</v>
      </c>
      <c r="F43" s="1" t="s">
        <v>172</v>
      </c>
      <c r="G43" s="1" t="s">
        <v>173</v>
      </c>
      <c r="H43" s="1" t="s">
        <v>174</v>
      </c>
      <c r="I43" s="2">
        <v>46265</v>
      </c>
      <c r="J43" s="1" t="s">
        <v>179</v>
      </c>
      <c r="K43" s="2">
        <v>46265</v>
      </c>
      <c r="L43" s="4">
        <v>30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4">
        <v>30</v>
      </c>
      <c r="S43" s="1" t="s">
        <v>26</v>
      </c>
      <c r="T43" s="2">
        <v>46265</v>
      </c>
      <c r="U43" s="1" t="s">
        <v>79</v>
      </c>
      <c r="V43" s="1" t="s">
        <v>28</v>
      </c>
      <c r="W43" s="1"/>
      <c r="X43" s="1" t="s">
        <v>29</v>
      </c>
      <c r="Y43" s="1" t="s">
        <v>30</v>
      </c>
      <c r="Z43" s="1" t="s">
        <v>404</v>
      </c>
      <c r="AA43" s="1" t="str">
        <f>IFERROR(VLOOKUP(Tabela2[[#This Row],[Natureza]],Tabela4[[#All],[NATUREZA]:[CATEGORIA]],6,FALSE),"")</f>
        <v>Alimentação</v>
      </c>
    </row>
    <row r="44" spans="1:27" ht="15.75" x14ac:dyDescent="0.25">
      <c r="A44">
        <f>IF(Tabela2[[#This Row],[Natureza]]&lt;&gt;"",ROW(Tabela2[[#This Row],[Natureza]])-1)</f>
        <v>43</v>
      </c>
      <c r="B44" s="1" t="s">
        <v>72</v>
      </c>
      <c r="C44" s="1" t="s">
        <v>181</v>
      </c>
      <c r="D44" s="1"/>
      <c r="E44" s="1" t="s">
        <v>74</v>
      </c>
      <c r="F44" s="1" t="s">
        <v>172</v>
      </c>
      <c r="G44" s="1" t="s">
        <v>173</v>
      </c>
      <c r="H44" s="1" t="s">
        <v>174</v>
      </c>
      <c r="I44" s="2">
        <v>46265</v>
      </c>
      <c r="J44" s="1" t="s">
        <v>179</v>
      </c>
      <c r="K44" s="2">
        <v>46265</v>
      </c>
      <c r="L44" s="4">
        <v>72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4">
        <v>72</v>
      </c>
      <c r="S44" s="1" t="s">
        <v>26</v>
      </c>
      <c r="T44" s="2">
        <v>46265</v>
      </c>
      <c r="U44" s="1" t="s">
        <v>79</v>
      </c>
      <c r="V44" s="1" t="s">
        <v>28</v>
      </c>
      <c r="W44" s="1"/>
      <c r="X44" s="1" t="s">
        <v>29</v>
      </c>
      <c r="Y44" s="1" t="s">
        <v>30</v>
      </c>
      <c r="Z44" s="1" t="s">
        <v>404</v>
      </c>
      <c r="AA44" s="1" t="str">
        <f>IFERROR(VLOOKUP(Tabela2[[#This Row],[Natureza]],Tabela4[[#All],[NATUREZA]:[CATEGORIA]],6,FALSE),"")</f>
        <v>Alimentação</v>
      </c>
    </row>
    <row r="45" spans="1:27" ht="15.75" x14ac:dyDescent="0.25">
      <c r="A45">
        <f>IF(Tabela2[[#This Row],[Natureza]]&lt;&gt;"",ROW(Tabela2[[#This Row],[Natureza]])-1)</f>
        <v>44</v>
      </c>
      <c r="B45" s="1" t="s">
        <v>72</v>
      </c>
      <c r="C45" s="1" t="s">
        <v>182</v>
      </c>
      <c r="D45" s="1"/>
      <c r="E45" s="1" t="s">
        <v>74</v>
      </c>
      <c r="F45" s="1" t="s">
        <v>172</v>
      </c>
      <c r="G45" s="1" t="s">
        <v>173</v>
      </c>
      <c r="H45" s="1" t="s">
        <v>174</v>
      </c>
      <c r="I45" s="2">
        <v>46265</v>
      </c>
      <c r="J45" s="1" t="s">
        <v>175</v>
      </c>
      <c r="K45" s="2">
        <v>46265</v>
      </c>
      <c r="L45" s="4">
        <v>169.5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4">
        <v>169.5</v>
      </c>
      <c r="S45" s="1" t="s">
        <v>26</v>
      </c>
      <c r="T45" s="2">
        <v>46265</v>
      </c>
      <c r="U45" s="1" t="s">
        <v>79</v>
      </c>
      <c r="V45" s="1" t="s">
        <v>28</v>
      </c>
      <c r="W45" s="1"/>
      <c r="X45" s="1" t="s">
        <v>29</v>
      </c>
      <c r="Y45" s="1" t="s">
        <v>30</v>
      </c>
      <c r="Z45" s="1" t="s">
        <v>404</v>
      </c>
      <c r="AA45" s="1" t="str">
        <f>IFERROR(VLOOKUP(Tabela2[[#This Row],[Natureza]],Tabela4[[#All],[NATUREZA]:[CATEGORIA]],6,FALSE),"")</f>
        <v>Alimentação</v>
      </c>
    </row>
    <row r="46" spans="1:27" ht="15.75" x14ac:dyDescent="0.25">
      <c r="A46">
        <f>IF(Tabela2[[#This Row],[Natureza]]&lt;&gt;"",ROW(Tabela2[[#This Row],[Natureza]])-1)</f>
        <v>45</v>
      </c>
      <c r="B46" s="1" t="s">
        <v>72</v>
      </c>
      <c r="C46" s="1" t="s">
        <v>183</v>
      </c>
      <c r="D46" s="1"/>
      <c r="E46" s="1" t="s">
        <v>74</v>
      </c>
      <c r="F46" s="1" t="s">
        <v>172</v>
      </c>
      <c r="G46" s="1" t="s">
        <v>173</v>
      </c>
      <c r="H46" s="1" t="s">
        <v>184</v>
      </c>
      <c r="I46" s="2">
        <v>46265</v>
      </c>
      <c r="J46" s="1" t="s">
        <v>185</v>
      </c>
      <c r="K46" s="2">
        <v>46265</v>
      </c>
      <c r="L46" s="4">
        <v>1207.5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4">
        <v>1207.5</v>
      </c>
      <c r="S46" s="1" t="s">
        <v>26</v>
      </c>
      <c r="T46" s="2">
        <v>46265</v>
      </c>
      <c r="U46" s="1" t="s">
        <v>79</v>
      </c>
      <c r="V46" s="1" t="s">
        <v>28</v>
      </c>
      <c r="W46" s="1"/>
      <c r="X46" s="1" t="s">
        <v>29</v>
      </c>
      <c r="Y46" s="1" t="s">
        <v>30</v>
      </c>
      <c r="Z46" s="1" t="s">
        <v>404</v>
      </c>
      <c r="AA46" s="1" t="str">
        <f>IFERROR(VLOOKUP(Tabela2[[#This Row],[Natureza]],Tabela4[[#All],[NATUREZA]:[CATEGORIA]],6,FALSE),"")</f>
        <v>Viagens/Deslocamento</v>
      </c>
    </row>
    <row r="47" spans="1:27" ht="15.75" x14ac:dyDescent="0.25">
      <c r="A47">
        <f>IF(Tabela2[[#This Row],[Natureza]]&lt;&gt;"",ROW(Tabela2[[#This Row],[Natureza]])-1)</f>
        <v>46</v>
      </c>
      <c r="B47" s="1" t="s">
        <v>72</v>
      </c>
      <c r="C47" s="1" t="s">
        <v>186</v>
      </c>
      <c r="D47" s="1"/>
      <c r="E47" s="1" t="s">
        <v>74</v>
      </c>
      <c r="F47" s="1" t="s">
        <v>172</v>
      </c>
      <c r="G47" s="1" t="s">
        <v>173</v>
      </c>
      <c r="H47" s="1" t="s">
        <v>184</v>
      </c>
      <c r="I47" s="2">
        <v>46265</v>
      </c>
      <c r="J47" s="1" t="s">
        <v>187</v>
      </c>
      <c r="K47" s="2">
        <v>46265</v>
      </c>
      <c r="L47" s="4">
        <v>3622.5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4">
        <v>3622.5</v>
      </c>
      <c r="S47" s="1" t="s">
        <v>26</v>
      </c>
      <c r="T47" s="2">
        <v>46265</v>
      </c>
      <c r="U47" s="1" t="s">
        <v>79</v>
      </c>
      <c r="V47" s="1" t="s">
        <v>28</v>
      </c>
      <c r="W47" s="1"/>
      <c r="X47" s="1" t="s">
        <v>29</v>
      </c>
      <c r="Y47" s="1" t="s">
        <v>30</v>
      </c>
      <c r="Z47" s="1" t="s">
        <v>404</v>
      </c>
      <c r="AA47" s="1" t="str">
        <f>IFERROR(VLOOKUP(Tabela2[[#This Row],[Natureza]],Tabela4[[#All],[NATUREZA]:[CATEGORIA]],6,FALSE),"")</f>
        <v>Viagens/Deslocamento</v>
      </c>
    </row>
    <row r="48" spans="1:27" ht="15.75" x14ac:dyDescent="0.25">
      <c r="A48">
        <f>IF(Tabela2[[#This Row],[Natureza]]&lt;&gt;"",ROW(Tabela2[[#This Row],[Natureza]])-1)</f>
        <v>47</v>
      </c>
      <c r="B48" s="1" t="s">
        <v>72</v>
      </c>
      <c r="C48" s="1" t="s">
        <v>188</v>
      </c>
      <c r="D48" s="1"/>
      <c r="E48" s="1" t="s">
        <v>74</v>
      </c>
      <c r="F48" s="1" t="s">
        <v>172</v>
      </c>
      <c r="G48" s="1" t="s">
        <v>173</v>
      </c>
      <c r="H48" s="1" t="s">
        <v>184</v>
      </c>
      <c r="I48" s="2">
        <v>46265</v>
      </c>
      <c r="J48" s="1" t="s">
        <v>189</v>
      </c>
      <c r="K48" s="2">
        <v>46265</v>
      </c>
      <c r="L48" s="4">
        <v>3864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4">
        <v>3864</v>
      </c>
      <c r="S48" s="1" t="s">
        <v>26</v>
      </c>
      <c r="T48" s="2">
        <v>46265</v>
      </c>
      <c r="U48" s="1" t="s">
        <v>79</v>
      </c>
      <c r="V48" s="1" t="s">
        <v>28</v>
      </c>
      <c r="W48" s="1"/>
      <c r="X48" s="1" t="s">
        <v>29</v>
      </c>
      <c r="Y48" s="1" t="s">
        <v>30</v>
      </c>
      <c r="Z48" s="1" t="s">
        <v>404</v>
      </c>
      <c r="AA48" s="1" t="str">
        <f>IFERROR(VLOOKUP(Tabela2[[#This Row],[Natureza]],Tabela4[[#All],[NATUREZA]:[CATEGORIA]],6,FALSE),"")</f>
        <v>Viagens/Deslocamento</v>
      </c>
    </row>
    <row r="49" spans="1:27" ht="15.75" x14ac:dyDescent="0.25">
      <c r="A49">
        <f>IF(Tabela2[[#This Row],[Natureza]]&lt;&gt;"",ROW(Tabela2[[#This Row],[Natureza]])-1)</f>
        <v>48</v>
      </c>
      <c r="B49" s="1" t="s">
        <v>72</v>
      </c>
      <c r="C49" s="1" t="s">
        <v>190</v>
      </c>
      <c r="D49" s="1"/>
      <c r="E49" s="1" t="s">
        <v>74</v>
      </c>
      <c r="F49" s="1" t="s">
        <v>172</v>
      </c>
      <c r="G49" s="1" t="s">
        <v>173</v>
      </c>
      <c r="H49" s="1" t="s">
        <v>184</v>
      </c>
      <c r="I49" s="2">
        <v>46265</v>
      </c>
      <c r="J49" s="1" t="s">
        <v>191</v>
      </c>
      <c r="K49" s="2">
        <v>46265</v>
      </c>
      <c r="L49" s="4">
        <v>3381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4">
        <v>3381</v>
      </c>
      <c r="S49" s="1" t="s">
        <v>26</v>
      </c>
      <c r="T49" s="2">
        <v>46265</v>
      </c>
      <c r="U49" s="1" t="s">
        <v>79</v>
      </c>
      <c r="V49" s="1" t="s">
        <v>28</v>
      </c>
      <c r="W49" s="1"/>
      <c r="X49" s="1" t="s">
        <v>29</v>
      </c>
      <c r="Y49" s="1" t="s">
        <v>30</v>
      </c>
      <c r="Z49" s="1" t="s">
        <v>404</v>
      </c>
      <c r="AA49" s="1" t="str">
        <f>IFERROR(VLOOKUP(Tabela2[[#This Row],[Natureza]],Tabela4[[#All],[NATUREZA]:[CATEGORIA]],6,FALSE),"")</f>
        <v>Viagens/Deslocamento</v>
      </c>
    </row>
    <row r="50" spans="1:27" ht="15.75" x14ac:dyDescent="0.25">
      <c r="A50">
        <f>IF(Tabela2[[#This Row],[Natureza]]&lt;&gt;"",ROW(Tabela2[[#This Row],[Natureza]])-1)</f>
        <v>49</v>
      </c>
      <c r="B50" s="1" t="s">
        <v>72</v>
      </c>
      <c r="C50" s="1" t="s">
        <v>192</v>
      </c>
      <c r="D50" s="1"/>
      <c r="E50" s="1" t="s">
        <v>74</v>
      </c>
      <c r="F50" s="1" t="s">
        <v>172</v>
      </c>
      <c r="G50" s="1" t="s">
        <v>173</v>
      </c>
      <c r="H50" s="1" t="s">
        <v>184</v>
      </c>
      <c r="I50" s="2">
        <v>46265</v>
      </c>
      <c r="J50" s="1" t="s">
        <v>193</v>
      </c>
      <c r="K50" s="2">
        <v>46265</v>
      </c>
      <c r="L50" s="4">
        <v>2173.5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4">
        <v>2173.5</v>
      </c>
      <c r="S50" s="1" t="s">
        <v>26</v>
      </c>
      <c r="T50" s="2">
        <v>46265</v>
      </c>
      <c r="U50" s="1" t="s">
        <v>79</v>
      </c>
      <c r="V50" s="1" t="s">
        <v>28</v>
      </c>
      <c r="W50" s="1"/>
      <c r="X50" s="1" t="s">
        <v>29</v>
      </c>
      <c r="Y50" s="1" t="s">
        <v>30</v>
      </c>
      <c r="Z50" s="1" t="s">
        <v>404</v>
      </c>
      <c r="AA50" s="1" t="str">
        <f>IFERROR(VLOOKUP(Tabela2[[#This Row],[Natureza]],Tabela4[[#All],[NATUREZA]:[CATEGORIA]],6,FALSE),"")</f>
        <v>Viagens/Deslocamento</v>
      </c>
    </row>
    <row r="51" spans="1:27" ht="15.75" x14ac:dyDescent="0.25">
      <c r="A51">
        <f>IF(Tabela2[[#This Row],[Natureza]]&lt;&gt;"",ROW(Tabela2[[#This Row],[Natureza]])-1)</f>
        <v>50</v>
      </c>
      <c r="B51" s="1" t="s">
        <v>72</v>
      </c>
      <c r="C51" s="1" t="s">
        <v>194</v>
      </c>
      <c r="D51" s="1"/>
      <c r="E51" s="1" t="s">
        <v>74</v>
      </c>
      <c r="F51" s="1" t="s">
        <v>172</v>
      </c>
      <c r="G51" s="1" t="s">
        <v>173</v>
      </c>
      <c r="H51" s="1" t="s">
        <v>184</v>
      </c>
      <c r="I51" s="2">
        <v>46265</v>
      </c>
      <c r="J51" s="1" t="s">
        <v>195</v>
      </c>
      <c r="K51" s="2">
        <v>46265</v>
      </c>
      <c r="L51" s="4">
        <v>4347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4">
        <v>4347</v>
      </c>
      <c r="S51" s="1" t="s">
        <v>26</v>
      </c>
      <c r="T51" s="2">
        <v>46265</v>
      </c>
      <c r="U51" s="1" t="s">
        <v>79</v>
      </c>
      <c r="V51" s="1" t="s">
        <v>28</v>
      </c>
      <c r="W51" s="1"/>
      <c r="X51" s="1" t="s">
        <v>29</v>
      </c>
      <c r="Y51" s="1" t="s">
        <v>30</v>
      </c>
      <c r="Z51" s="1" t="s">
        <v>404</v>
      </c>
      <c r="AA51" s="1" t="str">
        <f>IFERROR(VLOOKUP(Tabela2[[#This Row],[Natureza]],Tabela4[[#All],[NATUREZA]:[CATEGORIA]],6,FALSE),"")</f>
        <v>Viagens/Deslocamento</v>
      </c>
    </row>
    <row r="52" spans="1:27" ht="15.75" x14ac:dyDescent="0.25">
      <c r="A52">
        <f>IF(Tabela2[[#This Row],[Natureza]]&lt;&gt;"",ROW(Tabela2[[#This Row],[Natureza]])-1)</f>
        <v>51</v>
      </c>
      <c r="B52" s="1" t="s">
        <v>72</v>
      </c>
      <c r="C52" s="1" t="s">
        <v>196</v>
      </c>
      <c r="D52" s="1"/>
      <c r="E52" s="1" t="s">
        <v>74</v>
      </c>
      <c r="F52" s="1" t="s">
        <v>172</v>
      </c>
      <c r="G52" s="1" t="s">
        <v>173</v>
      </c>
      <c r="H52" s="1" t="s">
        <v>184</v>
      </c>
      <c r="I52" s="2">
        <v>46265</v>
      </c>
      <c r="J52" s="1" t="s">
        <v>197</v>
      </c>
      <c r="K52" s="2">
        <v>46265</v>
      </c>
      <c r="L52" s="4">
        <v>4347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4">
        <v>4347</v>
      </c>
      <c r="S52" s="1" t="s">
        <v>26</v>
      </c>
      <c r="T52" s="2">
        <v>46265</v>
      </c>
      <c r="U52" s="1" t="s">
        <v>79</v>
      </c>
      <c r="V52" s="1" t="s">
        <v>28</v>
      </c>
      <c r="W52" s="1"/>
      <c r="X52" s="1" t="s">
        <v>29</v>
      </c>
      <c r="Y52" s="1" t="s">
        <v>30</v>
      </c>
      <c r="Z52" s="1" t="s">
        <v>404</v>
      </c>
      <c r="AA52" s="1" t="str">
        <f>IFERROR(VLOOKUP(Tabela2[[#This Row],[Natureza]],Tabela4[[#All],[NATUREZA]:[CATEGORIA]],6,FALSE),"")</f>
        <v>Viagens/Deslocamento</v>
      </c>
    </row>
    <row r="53" spans="1:27" ht="15.75" x14ac:dyDescent="0.25">
      <c r="A53">
        <f>IF(Tabela2[[#This Row],[Natureza]]&lt;&gt;"",ROW(Tabela2[[#This Row],[Natureza]])-1)</f>
        <v>52</v>
      </c>
      <c r="B53" s="1" t="s">
        <v>72</v>
      </c>
      <c r="C53" s="1" t="s">
        <v>198</v>
      </c>
      <c r="D53" s="1"/>
      <c r="E53" s="1" t="s">
        <v>74</v>
      </c>
      <c r="F53" s="1" t="s">
        <v>172</v>
      </c>
      <c r="G53" s="1" t="s">
        <v>173</v>
      </c>
      <c r="H53" s="1" t="s">
        <v>184</v>
      </c>
      <c r="I53" s="2">
        <v>46265</v>
      </c>
      <c r="J53" s="1" t="s">
        <v>199</v>
      </c>
      <c r="K53" s="2">
        <v>46265</v>
      </c>
      <c r="L53" s="4">
        <v>4588.5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4">
        <v>4588.5</v>
      </c>
      <c r="S53" s="1" t="s">
        <v>26</v>
      </c>
      <c r="T53" s="2">
        <v>46265</v>
      </c>
      <c r="U53" s="1" t="s">
        <v>79</v>
      </c>
      <c r="V53" s="1" t="s">
        <v>28</v>
      </c>
      <c r="W53" s="1"/>
      <c r="X53" s="1" t="s">
        <v>29</v>
      </c>
      <c r="Y53" s="1" t="s">
        <v>30</v>
      </c>
      <c r="Z53" s="1" t="s">
        <v>404</v>
      </c>
      <c r="AA53" s="1" t="str">
        <f>IFERROR(VLOOKUP(Tabela2[[#This Row],[Natureza]],Tabela4[[#All],[NATUREZA]:[CATEGORIA]],6,FALSE),"")</f>
        <v>Viagens/Deslocamento</v>
      </c>
    </row>
    <row r="54" spans="1:27" ht="15.75" x14ac:dyDescent="0.25">
      <c r="A54">
        <f>IF(Tabela2[[#This Row],[Natureza]]&lt;&gt;"",ROW(Tabela2[[#This Row],[Natureza]])-1)</f>
        <v>53</v>
      </c>
      <c r="B54" s="1" t="s">
        <v>72</v>
      </c>
      <c r="C54" s="1" t="s">
        <v>200</v>
      </c>
      <c r="D54" s="1"/>
      <c r="E54" s="1" t="s">
        <v>74</v>
      </c>
      <c r="F54" s="1" t="s">
        <v>172</v>
      </c>
      <c r="G54" s="1" t="s">
        <v>173</v>
      </c>
      <c r="H54" s="1" t="s">
        <v>184</v>
      </c>
      <c r="I54" s="2">
        <v>46265</v>
      </c>
      <c r="J54" s="1" t="s">
        <v>201</v>
      </c>
      <c r="K54" s="2">
        <v>46265</v>
      </c>
      <c r="L54" s="4">
        <v>483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4">
        <v>483</v>
      </c>
      <c r="S54" s="1" t="s">
        <v>26</v>
      </c>
      <c r="T54" s="2">
        <v>46265</v>
      </c>
      <c r="U54" s="1" t="s">
        <v>79</v>
      </c>
      <c r="V54" s="1" t="s">
        <v>28</v>
      </c>
      <c r="W54" s="1"/>
      <c r="X54" s="1" t="s">
        <v>29</v>
      </c>
      <c r="Y54" s="1" t="s">
        <v>30</v>
      </c>
      <c r="Z54" s="1" t="s">
        <v>404</v>
      </c>
      <c r="AA54" s="1" t="str">
        <f>IFERROR(VLOOKUP(Tabela2[[#This Row],[Natureza]],Tabela4[[#All],[NATUREZA]:[CATEGORIA]],6,FALSE),"")</f>
        <v>Viagens/Deslocamento</v>
      </c>
    </row>
    <row r="55" spans="1:27" ht="15.75" x14ac:dyDescent="0.25">
      <c r="A55">
        <f>IF(Tabela2[[#This Row],[Natureza]]&lt;&gt;"",ROW(Tabela2[[#This Row],[Natureza]])-1)</f>
        <v>54</v>
      </c>
      <c r="B55" s="1" t="s">
        <v>72</v>
      </c>
      <c r="C55" s="1" t="s">
        <v>202</v>
      </c>
      <c r="D55" s="1"/>
      <c r="E55" s="1" t="s">
        <v>74</v>
      </c>
      <c r="F55" s="1" t="s">
        <v>172</v>
      </c>
      <c r="G55" s="1" t="s">
        <v>173</v>
      </c>
      <c r="H55" s="1" t="s">
        <v>184</v>
      </c>
      <c r="I55" s="2">
        <v>46265</v>
      </c>
      <c r="J55" s="1" t="s">
        <v>203</v>
      </c>
      <c r="K55" s="2">
        <v>46265</v>
      </c>
      <c r="L55" s="4">
        <v>3501.75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4">
        <v>3501.75</v>
      </c>
      <c r="S55" s="1" t="s">
        <v>26</v>
      </c>
      <c r="T55" s="2">
        <v>46265</v>
      </c>
      <c r="U55" s="1" t="s">
        <v>79</v>
      </c>
      <c r="V55" s="1" t="s">
        <v>28</v>
      </c>
      <c r="W55" s="1"/>
      <c r="X55" s="1" t="s">
        <v>29</v>
      </c>
      <c r="Y55" s="1" t="s">
        <v>30</v>
      </c>
      <c r="Z55" s="1" t="s">
        <v>404</v>
      </c>
      <c r="AA55" s="1" t="str">
        <f>IFERROR(VLOOKUP(Tabela2[[#This Row],[Natureza]],Tabela4[[#All],[NATUREZA]:[CATEGORIA]],6,FALSE),"")</f>
        <v>Viagens/Deslocamento</v>
      </c>
    </row>
    <row r="56" spans="1:27" ht="15.75" x14ac:dyDescent="0.25">
      <c r="A56">
        <f>IF(Tabela2[[#This Row],[Natureza]]&lt;&gt;"",ROW(Tabela2[[#This Row],[Natureza]])-1)</f>
        <v>55</v>
      </c>
      <c r="B56" s="1" t="s">
        <v>204</v>
      </c>
      <c r="C56" s="1" t="s">
        <v>205</v>
      </c>
      <c r="D56" s="1"/>
      <c r="E56" s="1" t="s">
        <v>74</v>
      </c>
      <c r="F56" s="1" t="s">
        <v>172</v>
      </c>
      <c r="G56" s="1" t="s">
        <v>173</v>
      </c>
      <c r="H56" s="1" t="s">
        <v>174</v>
      </c>
      <c r="I56" s="2">
        <v>46265</v>
      </c>
      <c r="J56" s="1" t="s">
        <v>179</v>
      </c>
      <c r="K56" s="2">
        <v>46265</v>
      </c>
      <c r="L56" s="4">
        <v>24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4">
        <v>24</v>
      </c>
      <c r="S56" s="1" t="s">
        <v>26</v>
      </c>
      <c r="T56" s="2">
        <v>46265</v>
      </c>
      <c r="U56" s="1" t="s">
        <v>79</v>
      </c>
      <c r="V56" s="1" t="s">
        <v>28</v>
      </c>
      <c r="W56" s="1"/>
      <c r="X56" s="1" t="s">
        <v>29</v>
      </c>
      <c r="Y56" s="1" t="s">
        <v>30</v>
      </c>
      <c r="Z56" s="1" t="s">
        <v>404</v>
      </c>
      <c r="AA56" s="1" t="str">
        <f>IFERROR(VLOOKUP(Tabela2[[#This Row],[Natureza]],Tabela4[[#All],[NATUREZA]:[CATEGORIA]],6,FALSE),"")</f>
        <v>Alimentação</v>
      </c>
    </row>
    <row r="57" spans="1:27" ht="15.75" x14ac:dyDescent="0.25">
      <c r="A57">
        <f>IF(Tabela2[[#This Row],[Natureza]]&lt;&gt;"",ROW(Tabela2[[#This Row],[Natureza]])-1)</f>
        <v>56</v>
      </c>
      <c r="B57" s="1" t="s">
        <v>204</v>
      </c>
      <c r="C57" s="1" t="s">
        <v>206</v>
      </c>
      <c r="D57" s="1"/>
      <c r="E57" s="1" t="s">
        <v>74</v>
      </c>
      <c r="F57" s="1" t="s">
        <v>172</v>
      </c>
      <c r="G57" s="1" t="s">
        <v>173</v>
      </c>
      <c r="H57" s="1" t="s">
        <v>174</v>
      </c>
      <c r="I57" s="2">
        <v>46265</v>
      </c>
      <c r="J57" s="1" t="s">
        <v>179</v>
      </c>
      <c r="K57" s="2">
        <v>46265</v>
      </c>
      <c r="L57" s="4">
        <v>48.5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4">
        <v>48.5</v>
      </c>
      <c r="S57" s="1" t="s">
        <v>26</v>
      </c>
      <c r="T57" s="2">
        <v>46265</v>
      </c>
      <c r="U57" s="1" t="s">
        <v>79</v>
      </c>
      <c r="V57" s="1" t="s">
        <v>28</v>
      </c>
      <c r="W57" s="1"/>
      <c r="X57" s="1" t="s">
        <v>29</v>
      </c>
      <c r="Y57" s="1" t="s">
        <v>30</v>
      </c>
      <c r="Z57" s="1" t="s">
        <v>404</v>
      </c>
      <c r="AA57" s="1" t="str">
        <f>IFERROR(VLOOKUP(Tabela2[[#This Row],[Natureza]],Tabela4[[#All],[NATUREZA]:[CATEGORIA]],6,FALSE),"")</f>
        <v>Alimentação</v>
      </c>
    </row>
    <row r="58" spans="1:27" ht="15.75" x14ac:dyDescent="0.25">
      <c r="A58">
        <f>IF(Tabela2[[#This Row],[Natureza]]&lt;&gt;"",ROW(Tabela2[[#This Row],[Natureza]])-1)</f>
        <v>57</v>
      </c>
      <c r="B58" s="1" t="s">
        <v>204</v>
      </c>
      <c r="C58" s="1" t="s">
        <v>207</v>
      </c>
      <c r="D58" s="1"/>
      <c r="E58" s="1" t="s">
        <v>74</v>
      </c>
      <c r="F58" s="1" t="s">
        <v>172</v>
      </c>
      <c r="G58" s="1" t="s">
        <v>173</v>
      </c>
      <c r="H58" s="1" t="s">
        <v>174</v>
      </c>
      <c r="I58" s="2">
        <v>46265</v>
      </c>
      <c r="J58" s="1" t="s">
        <v>179</v>
      </c>
      <c r="K58" s="2">
        <v>46265</v>
      </c>
      <c r="L58" s="4">
        <v>6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4">
        <v>6</v>
      </c>
      <c r="S58" s="1" t="s">
        <v>26</v>
      </c>
      <c r="T58" s="2">
        <v>46265</v>
      </c>
      <c r="U58" s="1" t="s">
        <v>79</v>
      </c>
      <c r="V58" s="1" t="s">
        <v>28</v>
      </c>
      <c r="W58" s="1"/>
      <c r="X58" s="1" t="s">
        <v>29</v>
      </c>
      <c r="Y58" s="1" t="s">
        <v>30</v>
      </c>
      <c r="Z58" s="1" t="s">
        <v>404</v>
      </c>
      <c r="AA58" s="1" t="str">
        <f>IFERROR(VLOOKUP(Tabela2[[#This Row],[Natureza]],Tabela4[[#All],[NATUREZA]:[CATEGORIA]],6,FALSE),"")</f>
        <v>Alimentação</v>
      </c>
    </row>
    <row r="59" spans="1:27" ht="15.75" x14ac:dyDescent="0.25">
      <c r="A59">
        <f>IF(Tabela2[[#This Row],[Natureza]]&lt;&gt;"",ROW(Tabela2[[#This Row],[Natureza]])-1)</f>
        <v>58</v>
      </c>
      <c r="B59" s="1"/>
      <c r="C59" s="1"/>
      <c r="D59" s="1"/>
      <c r="E59" s="1"/>
      <c r="F59" s="1"/>
      <c r="G59" s="1"/>
      <c r="H59" s="12" t="s">
        <v>474</v>
      </c>
      <c r="I59" s="2"/>
      <c r="J59" s="1" t="s">
        <v>48</v>
      </c>
      <c r="K59" s="2">
        <v>46265</v>
      </c>
      <c r="L59" s="4">
        <v>29913714.57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4">
        <v>29913714.57</v>
      </c>
      <c r="S59" s="1" t="s">
        <v>26</v>
      </c>
      <c r="T59" s="2">
        <v>46265</v>
      </c>
      <c r="U59" s="1" t="s">
        <v>27</v>
      </c>
      <c r="V59" s="1" t="s">
        <v>28</v>
      </c>
      <c r="W59" s="1"/>
      <c r="X59" s="1" t="s">
        <v>29</v>
      </c>
      <c r="Y59" s="1" t="s">
        <v>30</v>
      </c>
      <c r="Z59" s="1" t="s">
        <v>404</v>
      </c>
      <c r="AA59" s="1" t="str">
        <f>IFERROR(VLOOKUP(Tabela2[[#This Row],[Natureza]],Tabela4[[#All],[NATUREZA]:[CATEGORIA]],6,FALSE),"")</f>
        <v>COMPROMISSADA</v>
      </c>
    </row>
    <row r="60" spans="1:27" ht="15.75" x14ac:dyDescent="0.25">
      <c r="A60">
        <f>IF(Tabela2[[#This Row],[Natureza]]&lt;&gt;"",ROW(Tabela2[[#This Row],[Natureza]])-1)</f>
        <v>59</v>
      </c>
      <c r="B60" s="1"/>
      <c r="C60" s="1"/>
      <c r="D60" s="1"/>
      <c r="E60" s="1"/>
      <c r="F60" s="1"/>
      <c r="G60" s="1" t="s">
        <v>70</v>
      </c>
      <c r="H60" s="1" t="s">
        <v>50</v>
      </c>
      <c r="I60" s="2"/>
      <c r="J60" s="1" t="s">
        <v>212</v>
      </c>
      <c r="K60" s="2">
        <v>46266</v>
      </c>
      <c r="L60" s="4">
        <v>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4">
        <v>8</v>
      </c>
      <c r="S60" s="1" t="s">
        <v>26</v>
      </c>
      <c r="T60" s="2">
        <v>46266</v>
      </c>
      <c r="U60" s="1" t="s">
        <v>27</v>
      </c>
      <c r="V60" s="1" t="s">
        <v>28</v>
      </c>
      <c r="W60" s="1"/>
      <c r="X60" s="1" t="s">
        <v>29</v>
      </c>
      <c r="Y60" s="1" t="s">
        <v>30</v>
      </c>
      <c r="Z60" s="1" t="s">
        <v>404</v>
      </c>
      <c r="AA60" s="1" t="str">
        <f>IFERROR(VLOOKUP(Tabela2[[#This Row],[Natureza]],Tabela4[[#All],[NATUREZA]:[CATEGORIA]],6,FALSE),"")</f>
        <v>Impostos/Tributos e Taxas</v>
      </c>
    </row>
    <row r="61" spans="1:27" ht="15.75" x14ac:dyDescent="0.25">
      <c r="A61">
        <f>IF(Tabela2[[#This Row],[Natureza]]&lt;&gt;"",ROW(Tabela2[[#This Row],[Natureza]])-1)</f>
        <v>60</v>
      </c>
      <c r="B61" s="1" t="s">
        <v>72</v>
      </c>
      <c r="C61" s="1" t="s">
        <v>213</v>
      </c>
      <c r="D61" s="1"/>
      <c r="E61" s="1" t="s">
        <v>74</v>
      </c>
      <c r="F61" s="1" t="s">
        <v>75</v>
      </c>
      <c r="G61" s="1" t="s">
        <v>76</v>
      </c>
      <c r="H61" s="1" t="s">
        <v>77</v>
      </c>
      <c r="I61" s="2">
        <v>46267</v>
      </c>
      <c r="J61" s="1" t="s">
        <v>214</v>
      </c>
      <c r="K61" s="2">
        <v>46267</v>
      </c>
      <c r="L61" s="4">
        <v>455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4">
        <v>455</v>
      </c>
      <c r="S61" s="1" t="s">
        <v>26</v>
      </c>
      <c r="T61" s="2">
        <v>46267</v>
      </c>
      <c r="U61" s="1" t="s">
        <v>79</v>
      </c>
      <c r="V61" s="1" t="s">
        <v>28</v>
      </c>
      <c r="W61" s="1"/>
      <c r="X61" s="1" t="s">
        <v>29</v>
      </c>
      <c r="Y61" s="1" t="s">
        <v>30</v>
      </c>
      <c r="Z61" s="1" t="s">
        <v>404</v>
      </c>
      <c r="AA61" s="1" t="str">
        <f>IFERROR(VLOOKUP(Tabela2[[#This Row],[Natureza]],Tabela4[[#All],[NATUREZA]:[CATEGORIA]],6,FALSE),"")</f>
        <v>Alimentação</v>
      </c>
    </row>
    <row r="62" spans="1:27" ht="15.75" x14ac:dyDescent="0.25">
      <c r="A62">
        <f>IF(Tabela2[[#This Row],[Natureza]]&lt;&gt;"",ROW(Tabela2[[#This Row],[Natureza]])-1)</f>
        <v>61</v>
      </c>
      <c r="B62" s="1" t="s">
        <v>72</v>
      </c>
      <c r="C62" s="1" t="s">
        <v>215</v>
      </c>
      <c r="D62" s="1"/>
      <c r="E62" s="1" t="s">
        <v>74</v>
      </c>
      <c r="F62" s="1" t="s">
        <v>156</v>
      </c>
      <c r="G62" s="1" t="s">
        <v>157</v>
      </c>
      <c r="H62" s="1" t="s">
        <v>216</v>
      </c>
      <c r="I62" s="2">
        <v>46267</v>
      </c>
      <c r="J62" s="1" t="s">
        <v>217</v>
      </c>
      <c r="K62" s="2">
        <v>46267</v>
      </c>
      <c r="L62" s="4">
        <v>506.62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4">
        <v>506.62</v>
      </c>
      <c r="S62" s="1" t="s">
        <v>26</v>
      </c>
      <c r="T62" s="2">
        <v>46267</v>
      </c>
      <c r="U62" s="1" t="s">
        <v>79</v>
      </c>
      <c r="V62" s="1" t="s">
        <v>28</v>
      </c>
      <c r="W62" s="1"/>
      <c r="X62" s="1" t="s">
        <v>29</v>
      </c>
      <c r="Y62" s="1" t="s">
        <v>30</v>
      </c>
      <c r="Z62" s="1" t="s">
        <v>404</v>
      </c>
      <c r="AA62" s="1" t="str">
        <f>IFERROR(VLOOKUP(Tabela2[[#This Row],[Natureza]],Tabela4[[#All],[NATUREZA]:[CATEGORIA]],6,FALSE),"")</f>
        <v>Locação de Equipamentos/Veículos</v>
      </c>
    </row>
    <row r="63" spans="1:27" ht="15.75" x14ac:dyDescent="0.25">
      <c r="A63">
        <f>IF(Tabela2[[#This Row],[Natureza]]&lt;&gt;"",ROW(Tabela2[[#This Row],[Natureza]])-1)</f>
        <v>62</v>
      </c>
      <c r="B63" s="1" t="s">
        <v>72</v>
      </c>
      <c r="C63" s="1" t="s">
        <v>215</v>
      </c>
      <c r="D63" s="1"/>
      <c r="E63" s="1" t="s">
        <v>74</v>
      </c>
      <c r="F63" s="1" t="s">
        <v>124</v>
      </c>
      <c r="G63" s="1" t="s">
        <v>125</v>
      </c>
      <c r="H63" s="1" t="s">
        <v>216</v>
      </c>
      <c r="I63" s="2">
        <v>46267</v>
      </c>
      <c r="J63" s="1" t="s">
        <v>218</v>
      </c>
      <c r="K63" s="2">
        <v>46267</v>
      </c>
      <c r="L63" s="4">
        <v>1072.3399999999999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4">
        <v>1072.3399999999999</v>
      </c>
      <c r="S63" s="1" t="s">
        <v>26</v>
      </c>
      <c r="T63" s="2">
        <v>46267</v>
      </c>
      <c r="U63" s="1" t="s">
        <v>79</v>
      </c>
      <c r="V63" s="1" t="s">
        <v>28</v>
      </c>
      <c r="W63" s="1"/>
      <c r="X63" s="1" t="s">
        <v>29</v>
      </c>
      <c r="Y63" s="1" t="s">
        <v>30</v>
      </c>
      <c r="Z63" s="1" t="s">
        <v>404</v>
      </c>
      <c r="AA63" s="1" t="str">
        <f>IFERROR(VLOOKUP(Tabela2[[#This Row],[Natureza]],Tabela4[[#All],[NATUREZA]:[CATEGORIA]],6,FALSE),"")</f>
        <v>Locação de Equipamentos/Veículos</v>
      </c>
    </row>
    <row r="64" spans="1:27" ht="15.75" x14ac:dyDescent="0.25">
      <c r="A64">
        <f>IF(Tabela2[[#This Row],[Natureza]]&lt;&gt;"",ROW(Tabela2[[#This Row],[Natureza]])-1)</f>
        <v>63</v>
      </c>
      <c r="B64" s="1" t="s">
        <v>72</v>
      </c>
      <c r="C64" s="1" t="s">
        <v>215</v>
      </c>
      <c r="D64" s="1" t="s">
        <v>105</v>
      </c>
      <c r="E64" s="1" t="s">
        <v>74</v>
      </c>
      <c r="F64" s="1" t="s">
        <v>219</v>
      </c>
      <c r="G64" s="1" t="s">
        <v>220</v>
      </c>
      <c r="H64" s="8" t="s">
        <v>102</v>
      </c>
      <c r="I64" s="2">
        <v>46267</v>
      </c>
      <c r="J64" s="1" t="s">
        <v>222</v>
      </c>
      <c r="K64" s="2">
        <v>46267</v>
      </c>
      <c r="L64" s="4">
        <v>440.16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4">
        <v>440.16</v>
      </c>
      <c r="S64" s="1" t="s">
        <v>26</v>
      </c>
      <c r="T64" s="2">
        <v>46267</v>
      </c>
      <c r="U64" s="1" t="s">
        <v>79</v>
      </c>
      <c r="V64" s="1" t="s">
        <v>28</v>
      </c>
      <c r="W64" s="1"/>
      <c r="X64" s="1" t="s">
        <v>29</v>
      </c>
      <c r="Y64" s="1" t="s">
        <v>30</v>
      </c>
      <c r="Z64" s="1" t="s">
        <v>404</v>
      </c>
      <c r="AA64" s="1" t="str">
        <f>IFERROR(VLOOKUP(Tabela2[[#This Row],[Natureza]],Tabela4[[#All],[NATUREZA]:[CATEGORIA]],6,FALSE),"")</f>
        <v>Reembolso/Prestação de Contas</v>
      </c>
    </row>
    <row r="65" spans="1:27" ht="15.75" x14ac:dyDescent="0.25">
      <c r="A65">
        <f>IF(Tabela2[[#This Row],[Natureza]]&lt;&gt;"",ROW(Tabela2[[#This Row],[Natureza]])-1)</f>
        <v>64</v>
      </c>
      <c r="B65" s="1" t="s">
        <v>72</v>
      </c>
      <c r="C65" s="1" t="s">
        <v>215</v>
      </c>
      <c r="D65" s="1" t="s">
        <v>118</v>
      </c>
      <c r="E65" s="1" t="s">
        <v>74</v>
      </c>
      <c r="F65" s="1" t="s">
        <v>219</v>
      </c>
      <c r="G65" s="1" t="s">
        <v>220</v>
      </c>
      <c r="H65" s="8" t="s">
        <v>102</v>
      </c>
      <c r="I65" s="2">
        <v>46267</v>
      </c>
      <c r="J65" s="1" t="s">
        <v>222</v>
      </c>
      <c r="K65" s="2">
        <v>46267</v>
      </c>
      <c r="L65" s="4">
        <v>23.17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4">
        <v>23.17</v>
      </c>
      <c r="S65" s="1" t="s">
        <v>26</v>
      </c>
      <c r="T65" s="2">
        <v>46267</v>
      </c>
      <c r="U65" s="1" t="s">
        <v>79</v>
      </c>
      <c r="V65" s="1" t="s">
        <v>28</v>
      </c>
      <c r="W65" s="1"/>
      <c r="X65" s="1" t="s">
        <v>29</v>
      </c>
      <c r="Y65" s="1" t="s">
        <v>30</v>
      </c>
      <c r="Z65" s="1" t="s">
        <v>404</v>
      </c>
      <c r="AA65" s="1" t="str">
        <f>IFERROR(VLOOKUP(Tabela2[[#This Row],[Natureza]],Tabela4[[#All],[NATUREZA]:[CATEGORIA]],6,FALSE),"")</f>
        <v>Reembolso/Prestação de Contas</v>
      </c>
    </row>
    <row r="66" spans="1:27" ht="15.75" x14ac:dyDescent="0.25">
      <c r="A66">
        <f>IF(Tabela2[[#This Row],[Natureza]]&lt;&gt;"",ROW(Tabela2[[#This Row],[Natureza]])-1)</f>
        <v>65</v>
      </c>
      <c r="B66" s="1" t="s">
        <v>223</v>
      </c>
      <c r="C66" s="1" t="s">
        <v>224</v>
      </c>
      <c r="D66" s="1"/>
      <c r="E66" s="1" t="s">
        <v>223</v>
      </c>
      <c r="F66" s="1" t="s">
        <v>225</v>
      </c>
      <c r="G66" s="1" t="s">
        <v>226</v>
      </c>
      <c r="H66" s="1" t="s">
        <v>227</v>
      </c>
      <c r="I66" s="2">
        <v>46267</v>
      </c>
      <c r="J66" s="1" t="s">
        <v>228</v>
      </c>
      <c r="K66" s="2">
        <v>46267</v>
      </c>
      <c r="L66" s="4">
        <v>57786.06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4">
        <v>57786.06</v>
      </c>
      <c r="S66" s="1" t="s">
        <v>26</v>
      </c>
      <c r="T66" s="2">
        <v>46267</v>
      </c>
      <c r="U66" s="1" t="s">
        <v>79</v>
      </c>
      <c r="V66" s="1" t="s">
        <v>28</v>
      </c>
      <c r="W66" s="1"/>
      <c r="X66" s="1" t="s">
        <v>29</v>
      </c>
      <c r="Y66" s="1" t="s">
        <v>30</v>
      </c>
      <c r="Z66" s="1" t="s">
        <v>404</v>
      </c>
      <c r="AA66" s="1" t="str">
        <f>IFERROR(VLOOKUP(Tabela2[[#This Row],[Natureza]],Tabela4[[#All],[NATUREZA]:[CATEGORIA]],6,FALSE),"")</f>
        <v>Folha e Benefícios</v>
      </c>
    </row>
    <row r="67" spans="1:27" ht="15.75" x14ac:dyDescent="0.25">
      <c r="A67">
        <f>IF(Tabela2[[#This Row],[Natureza]]&lt;&gt;"",ROW(Tabela2[[#This Row],[Natureza]])-1)</f>
        <v>66</v>
      </c>
      <c r="B67" s="1" t="s">
        <v>229</v>
      </c>
      <c r="C67" s="1" t="s">
        <v>230</v>
      </c>
      <c r="D67" s="1" t="s">
        <v>81</v>
      </c>
      <c r="E67" s="1" t="s">
        <v>231</v>
      </c>
      <c r="F67" s="1" t="s">
        <v>232</v>
      </c>
      <c r="G67" s="1" t="s">
        <v>233</v>
      </c>
      <c r="H67" s="1" t="s">
        <v>234</v>
      </c>
      <c r="I67" s="2">
        <v>46267</v>
      </c>
      <c r="J67" s="1" t="s">
        <v>235</v>
      </c>
      <c r="K67" s="2">
        <v>46267</v>
      </c>
      <c r="L67" s="4">
        <v>5978.68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4">
        <v>5978.68</v>
      </c>
      <c r="S67" s="1" t="s">
        <v>26</v>
      </c>
      <c r="T67" s="2">
        <v>46267</v>
      </c>
      <c r="U67" s="1" t="s">
        <v>79</v>
      </c>
      <c r="V67" s="1" t="s">
        <v>28</v>
      </c>
      <c r="W67" s="1"/>
      <c r="X67" s="1" t="s">
        <v>29</v>
      </c>
      <c r="Y67" s="1" t="s">
        <v>30</v>
      </c>
      <c r="Z67" s="1" t="s">
        <v>404</v>
      </c>
      <c r="AA67" s="1" t="str">
        <f>IFERROR(VLOOKUP(Tabela2[[#This Row],[Natureza]],Tabela4[[#All],[NATUREZA]:[CATEGORIA]],6,FALSE),"")</f>
        <v>Impostos/Tributos e Taxas</v>
      </c>
    </row>
    <row r="68" spans="1:27" ht="15.75" x14ac:dyDescent="0.25">
      <c r="A68">
        <f>IF(Tabela2[[#This Row],[Natureza]]&lt;&gt;"",ROW(Tabela2[[#This Row],[Natureza]])-1)</f>
        <v>67</v>
      </c>
      <c r="B68" s="1"/>
      <c r="C68" s="1"/>
      <c r="D68" s="1"/>
      <c r="E68" s="1"/>
      <c r="F68" s="1"/>
      <c r="G68" s="1"/>
      <c r="H68" s="12" t="s">
        <v>473</v>
      </c>
      <c r="I68" s="2"/>
      <c r="J68" s="1" t="s">
        <v>31</v>
      </c>
      <c r="K68" s="2">
        <v>46267</v>
      </c>
      <c r="L68" s="4">
        <v>66803.81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4">
        <v>66803.81</v>
      </c>
      <c r="S68" s="1" t="s">
        <v>26</v>
      </c>
      <c r="T68" s="2">
        <v>46267</v>
      </c>
      <c r="U68" s="1" t="s">
        <v>27</v>
      </c>
      <c r="V68" s="1" t="s">
        <v>28</v>
      </c>
      <c r="W68" s="1"/>
      <c r="X68" s="1" t="s">
        <v>29</v>
      </c>
      <c r="Y68" s="1" t="s">
        <v>30</v>
      </c>
      <c r="Z68" s="1" t="s">
        <v>404</v>
      </c>
      <c r="AA68" s="1" t="str">
        <f>IFERROR(VLOOKUP(Tabela2[[#This Row],[Natureza]],Tabela4[[#All],[NATUREZA]:[CATEGORIA]],6,FALSE),"")</f>
        <v>CONTAMAX</v>
      </c>
    </row>
    <row r="69" spans="1:27" ht="15.75" x14ac:dyDescent="0.25">
      <c r="A69">
        <f>IF(Tabela2[[#This Row],[Natureza]]&lt;&gt;"",ROW(Tabela2[[#This Row],[Natureza]])-1)</f>
        <v>68</v>
      </c>
      <c r="B69" s="1"/>
      <c r="C69" s="1"/>
      <c r="D69" s="1"/>
      <c r="E69" s="1"/>
      <c r="F69" s="1"/>
      <c r="G69" s="1" t="s">
        <v>70</v>
      </c>
      <c r="H69" s="1" t="s">
        <v>50</v>
      </c>
      <c r="I69" s="2"/>
      <c r="J69" s="1" t="s">
        <v>238</v>
      </c>
      <c r="K69" s="2">
        <v>46268</v>
      </c>
      <c r="L69" s="4">
        <v>4.5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4">
        <v>4.5</v>
      </c>
      <c r="S69" s="1" t="s">
        <v>26</v>
      </c>
      <c r="T69" s="2">
        <v>46268</v>
      </c>
      <c r="U69" s="1" t="s">
        <v>27</v>
      </c>
      <c r="V69" s="1" t="s">
        <v>28</v>
      </c>
      <c r="W69" s="1"/>
      <c r="X69" s="1" t="s">
        <v>29</v>
      </c>
      <c r="Y69" s="1" t="s">
        <v>30</v>
      </c>
      <c r="Z69" s="1" t="s">
        <v>404</v>
      </c>
      <c r="AA69" s="1" t="str">
        <f>IFERROR(VLOOKUP(Tabela2[[#This Row],[Natureza]],Tabela4[[#All],[NATUREZA]:[CATEGORIA]],6,FALSE),"")</f>
        <v>Impostos/Tributos e Taxas</v>
      </c>
    </row>
    <row r="70" spans="1:27" ht="15.75" x14ac:dyDescent="0.25">
      <c r="A70">
        <f>IF(Tabela2[[#This Row],[Natureza]]&lt;&gt;"",ROW(Tabela2[[#This Row],[Natureza]])-1)</f>
        <v>69</v>
      </c>
      <c r="B70" s="1" t="s">
        <v>72</v>
      </c>
      <c r="C70" s="1" t="s">
        <v>240</v>
      </c>
      <c r="D70" s="1"/>
      <c r="E70" s="1" t="s">
        <v>74</v>
      </c>
      <c r="F70" s="1" t="s">
        <v>241</v>
      </c>
      <c r="G70" s="1" t="s">
        <v>242</v>
      </c>
      <c r="H70" s="1" t="s">
        <v>243</v>
      </c>
      <c r="I70" s="2">
        <v>46269</v>
      </c>
      <c r="J70" s="1" t="s">
        <v>244</v>
      </c>
      <c r="K70" s="2">
        <v>46269</v>
      </c>
      <c r="L70" s="4">
        <v>500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4">
        <v>500</v>
      </c>
      <c r="S70" s="1" t="s">
        <v>26</v>
      </c>
      <c r="T70" s="2">
        <v>46269</v>
      </c>
      <c r="U70" s="1" t="s">
        <v>79</v>
      </c>
      <c r="V70" s="1" t="s">
        <v>28</v>
      </c>
      <c r="W70" s="1"/>
      <c r="X70" s="1" t="s">
        <v>29</v>
      </c>
      <c r="Y70" s="1" t="s">
        <v>30</v>
      </c>
      <c r="Z70" s="1" t="s">
        <v>404</v>
      </c>
      <c r="AA70" s="1" t="str">
        <f>IFERROR(VLOOKUP(Tabela2[[#This Row],[Natureza]],Tabela4[[#All],[NATUREZA]:[CATEGORIA]],6,FALSE),"")</f>
        <v>Locação de Equipamentos/Veículos</v>
      </c>
    </row>
    <row r="71" spans="1:27" ht="15.75" x14ac:dyDescent="0.25">
      <c r="A71">
        <f>IF(Tabela2[[#This Row],[Natureza]]&lt;&gt;"",ROW(Tabela2[[#This Row],[Natureza]])-1)</f>
        <v>70</v>
      </c>
      <c r="B71" s="1" t="s">
        <v>72</v>
      </c>
      <c r="C71" s="1" t="s">
        <v>245</v>
      </c>
      <c r="D71" s="1"/>
      <c r="E71" s="1" t="s">
        <v>74</v>
      </c>
      <c r="F71" s="1" t="s">
        <v>246</v>
      </c>
      <c r="G71" s="1" t="s">
        <v>247</v>
      </c>
      <c r="H71" s="1" t="s">
        <v>248</v>
      </c>
      <c r="I71" s="2">
        <v>46269</v>
      </c>
      <c r="J71" s="1" t="s">
        <v>249</v>
      </c>
      <c r="K71" s="2">
        <v>46269</v>
      </c>
      <c r="L71" s="4">
        <v>90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4">
        <v>90</v>
      </c>
      <c r="S71" s="1" t="s">
        <v>26</v>
      </c>
      <c r="T71" s="2">
        <v>46269</v>
      </c>
      <c r="U71" s="1" t="s">
        <v>79</v>
      </c>
      <c r="V71" s="1" t="s">
        <v>28</v>
      </c>
      <c r="W71" s="1"/>
      <c r="X71" s="1" t="s">
        <v>29</v>
      </c>
      <c r="Y71" s="1" t="s">
        <v>30</v>
      </c>
      <c r="Z71" s="1" t="s">
        <v>404</v>
      </c>
      <c r="AA71" s="1" t="str">
        <f>IFERROR(VLOOKUP(Tabela2[[#This Row],[Natureza]],Tabela4[[#All],[NATUREZA]:[CATEGORIA]],6,FALSE),"")</f>
        <v>Serviços de Terceiros</v>
      </c>
    </row>
    <row r="72" spans="1:27" ht="15.75" x14ac:dyDescent="0.25">
      <c r="A72">
        <f>IF(Tabela2[[#This Row],[Natureza]]&lt;&gt;"",ROW(Tabela2[[#This Row],[Natureza]])-1)</f>
        <v>71</v>
      </c>
      <c r="B72" s="1" t="s">
        <v>72</v>
      </c>
      <c r="C72" s="1" t="s">
        <v>80</v>
      </c>
      <c r="D72" s="1" t="s">
        <v>250</v>
      </c>
      <c r="E72" s="1" t="s">
        <v>74</v>
      </c>
      <c r="F72" s="1" t="s">
        <v>82</v>
      </c>
      <c r="G72" s="1" t="s">
        <v>83</v>
      </c>
      <c r="H72" s="1" t="s">
        <v>84</v>
      </c>
      <c r="I72" s="2">
        <v>46269</v>
      </c>
      <c r="J72" s="1" t="s">
        <v>85</v>
      </c>
      <c r="K72" s="2">
        <v>46269</v>
      </c>
      <c r="L72" s="4">
        <v>68366.42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4">
        <v>68366.42</v>
      </c>
      <c r="S72" s="1" t="s">
        <v>26</v>
      </c>
      <c r="T72" s="2">
        <v>46269</v>
      </c>
      <c r="U72" s="1" t="s">
        <v>79</v>
      </c>
      <c r="V72" s="1" t="s">
        <v>28</v>
      </c>
      <c r="W72" s="1"/>
      <c r="X72" s="1" t="s">
        <v>29</v>
      </c>
      <c r="Y72" s="1" t="s">
        <v>30</v>
      </c>
      <c r="Z72" s="1" t="s">
        <v>404</v>
      </c>
      <c r="AA72" s="1" t="str">
        <f>IFERROR(VLOOKUP(Tabela2[[#This Row],[Natureza]],Tabela4[[#All],[NATUREZA]:[CATEGORIA]],6,FALSE),"")</f>
        <v>Seguros</v>
      </c>
    </row>
    <row r="73" spans="1:27" ht="15.75" x14ac:dyDescent="0.25">
      <c r="A73">
        <f>IF(Tabela2[[#This Row],[Natureza]]&lt;&gt;"",ROW(Tabela2[[#This Row],[Natureza]])-1)</f>
        <v>72</v>
      </c>
      <c r="B73" s="1" t="s">
        <v>204</v>
      </c>
      <c r="C73" s="1" t="s">
        <v>251</v>
      </c>
      <c r="D73" s="1"/>
      <c r="E73" s="1" t="s">
        <v>74</v>
      </c>
      <c r="F73" s="1" t="s">
        <v>252</v>
      </c>
      <c r="G73" s="1" t="s">
        <v>253</v>
      </c>
      <c r="H73" s="1" t="s">
        <v>254</v>
      </c>
      <c r="I73" s="2">
        <v>46269</v>
      </c>
      <c r="J73" s="1" t="s">
        <v>214</v>
      </c>
      <c r="K73" s="2">
        <v>46269</v>
      </c>
      <c r="L73" s="4">
        <v>255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4">
        <v>255</v>
      </c>
      <c r="S73" s="1" t="s">
        <v>26</v>
      </c>
      <c r="T73" s="2">
        <v>46269</v>
      </c>
      <c r="U73" s="1" t="s">
        <v>79</v>
      </c>
      <c r="V73" s="1" t="s">
        <v>28</v>
      </c>
      <c r="W73" s="1"/>
      <c r="X73" s="1" t="s">
        <v>29</v>
      </c>
      <c r="Y73" s="1" t="s">
        <v>30</v>
      </c>
      <c r="Z73" s="1" t="s">
        <v>404</v>
      </c>
      <c r="AA73" s="1" t="str">
        <f>IFERROR(VLOOKUP(Tabela2[[#This Row],[Natureza]],Tabela4[[#All],[NATUREZA]:[CATEGORIA]],6,FALSE),"")</f>
        <v>Materiais/Peças/Ferramentas</v>
      </c>
    </row>
    <row r="74" spans="1:27" ht="15.75" x14ac:dyDescent="0.25">
      <c r="A74">
        <f>IF(Tabela2[[#This Row],[Natureza]]&lt;&gt;"",ROW(Tabela2[[#This Row],[Natureza]])-1)</f>
        <v>73</v>
      </c>
      <c r="B74" s="1"/>
      <c r="C74" s="1"/>
      <c r="D74" s="1"/>
      <c r="E74" s="1"/>
      <c r="F74" s="1"/>
      <c r="G74" s="1" t="s">
        <v>70</v>
      </c>
      <c r="H74" s="1" t="s">
        <v>50</v>
      </c>
      <c r="I74" s="2"/>
      <c r="J74" s="1" t="s">
        <v>238</v>
      </c>
      <c r="K74" s="2">
        <v>46273</v>
      </c>
      <c r="L74" s="4">
        <v>1.5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4">
        <v>1.5</v>
      </c>
      <c r="S74" s="1" t="s">
        <v>26</v>
      </c>
      <c r="T74" s="2">
        <v>46273</v>
      </c>
      <c r="U74" s="1" t="s">
        <v>27</v>
      </c>
      <c r="V74" s="1" t="s">
        <v>28</v>
      </c>
      <c r="W74" s="1"/>
      <c r="X74" s="1" t="s">
        <v>29</v>
      </c>
      <c r="Y74" s="1" t="s">
        <v>30</v>
      </c>
      <c r="Z74" s="1" t="s">
        <v>404</v>
      </c>
      <c r="AA74" s="1" t="str">
        <f>IFERROR(VLOOKUP(Tabela2[[#This Row],[Natureza]],Tabela4[[#All],[NATUREZA]:[CATEGORIA]],6,FALSE),"")</f>
        <v>Impostos/Tributos e Taxas</v>
      </c>
    </row>
    <row r="75" spans="1:27" ht="15.75" x14ac:dyDescent="0.25">
      <c r="A75">
        <f>IF(Tabela2[[#This Row],[Natureza]]&lt;&gt;"",ROW(Tabela2[[#This Row],[Natureza]])-1)</f>
        <v>74</v>
      </c>
      <c r="B75" s="1" t="s">
        <v>72</v>
      </c>
      <c r="C75" s="1" t="s">
        <v>256</v>
      </c>
      <c r="D75" s="1"/>
      <c r="E75" s="1" t="s">
        <v>74</v>
      </c>
      <c r="F75" s="1" t="s">
        <v>257</v>
      </c>
      <c r="G75" s="1" t="s">
        <v>258</v>
      </c>
      <c r="H75" s="1" t="s">
        <v>259</v>
      </c>
      <c r="I75" s="2">
        <v>46274</v>
      </c>
      <c r="J75" s="1" t="s">
        <v>260</v>
      </c>
      <c r="K75" s="2">
        <v>46274</v>
      </c>
      <c r="L75" s="4">
        <v>15200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4">
        <v>14265.2</v>
      </c>
      <c r="S75" s="1" t="s">
        <v>26</v>
      </c>
      <c r="T75" s="2">
        <v>46274</v>
      </c>
      <c r="U75" s="1" t="s">
        <v>79</v>
      </c>
      <c r="V75" s="1" t="s">
        <v>28</v>
      </c>
      <c r="W75" s="1"/>
      <c r="X75" s="1" t="s">
        <v>29</v>
      </c>
      <c r="Y75" s="1" t="s">
        <v>30</v>
      </c>
      <c r="Z75" s="1" t="s">
        <v>404</v>
      </c>
      <c r="AA75" s="1" t="str">
        <f>IFERROR(VLOOKUP(Tabela2[[#This Row],[Natureza]],Tabela4[[#All],[NATUREZA]:[CATEGORIA]],6,FALSE),"")</f>
        <v>Serviços de Terceiros</v>
      </c>
    </row>
    <row r="76" spans="1:27" ht="15.75" x14ac:dyDescent="0.25">
      <c r="A76">
        <f>IF(Tabela2[[#This Row],[Natureza]]&lt;&gt;"",ROW(Tabela2[[#This Row],[Natureza]])-1)</f>
        <v>75</v>
      </c>
      <c r="B76" s="1" t="s">
        <v>72</v>
      </c>
      <c r="C76" s="1" t="s">
        <v>261</v>
      </c>
      <c r="D76" s="1"/>
      <c r="E76" s="1" t="s">
        <v>74</v>
      </c>
      <c r="F76" s="1" t="s">
        <v>246</v>
      </c>
      <c r="G76" s="1" t="s">
        <v>247</v>
      </c>
      <c r="H76" s="1" t="s">
        <v>262</v>
      </c>
      <c r="I76" s="2">
        <v>46274</v>
      </c>
      <c r="J76" s="1" t="s">
        <v>263</v>
      </c>
      <c r="K76" s="2">
        <v>46274</v>
      </c>
      <c r="L76" s="4">
        <v>5972.3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4">
        <v>5972.3</v>
      </c>
      <c r="S76" s="1" t="s">
        <v>26</v>
      </c>
      <c r="T76" s="2">
        <v>46274</v>
      </c>
      <c r="U76" s="1" t="s">
        <v>79</v>
      </c>
      <c r="V76" s="1" t="s">
        <v>28</v>
      </c>
      <c r="W76" s="1"/>
      <c r="X76" s="1" t="s">
        <v>29</v>
      </c>
      <c r="Y76" s="1" t="s">
        <v>30</v>
      </c>
      <c r="Z76" s="1" t="s">
        <v>404</v>
      </c>
      <c r="AA76" s="1" t="str">
        <f>IFERROR(VLOOKUP(Tabela2[[#This Row],[Natureza]],Tabela4[[#All],[NATUREZA]:[CATEGORIA]],6,FALSE),"")</f>
        <v>Viagens/Deslocamento</v>
      </c>
    </row>
    <row r="77" spans="1:27" ht="15.75" x14ac:dyDescent="0.25">
      <c r="A77">
        <f>IF(Tabela2[[#This Row],[Natureza]]&lt;&gt;"",ROW(Tabela2[[#This Row],[Natureza]])-1)</f>
        <v>76</v>
      </c>
      <c r="B77" s="1" t="s">
        <v>264</v>
      </c>
      <c r="C77" s="1" t="s">
        <v>265</v>
      </c>
      <c r="D77" s="1"/>
      <c r="E77" s="1" t="s">
        <v>74</v>
      </c>
      <c r="F77" s="1" t="s">
        <v>266</v>
      </c>
      <c r="G77" s="1" t="s">
        <v>267</v>
      </c>
      <c r="H77" s="1" t="s">
        <v>268</v>
      </c>
      <c r="I77" s="2">
        <v>46274</v>
      </c>
      <c r="J77" s="1" t="s">
        <v>214</v>
      </c>
      <c r="K77" s="2">
        <v>46274</v>
      </c>
      <c r="L77" s="4">
        <v>2690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4">
        <v>2690</v>
      </c>
      <c r="S77" s="1" t="s">
        <v>26</v>
      </c>
      <c r="T77" s="2">
        <v>46274</v>
      </c>
      <c r="U77" s="1" t="s">
        <v>79</v>
      </c>
      <c r="V77" s="1" t="s">
        <v>28</v>
      </c>
      <c r="W77" s="1"/>
      <c r="X77" s="1" t="s">
        <v>29</v>
      </c>
      <c r="Y77" s="1" t="s">
        <v>30</v>
      </c>
      <c r="Z77" s="1" t="s">
        <v>404</v>
      </c>
      <c r="AA77" s="1" t="str">
        <f>IFERROR(VLOOKUP(Tabela2[[#This Row],[Natureza]],Tabela4[[#All],[NATUREZA]:[CATEGORIA]],6,FALSE),"")</f>
        <v>Materiais/Peças/Ferramentas</v>
      </c>
    </row>
    <row r="78" spans="1:27" ht="15.75" x14ac:dyDescent="0.25">
      <c r="A78">
        <f>IF(Tabela2[[#This Row],[Natureza]]&lt;&gt;"",ROW(Tabela2[[#This Row],[Natureza]])-1)</f>
        <v>77</v>
      </c>
      <c r="B78" s="1" t="s">
        <v>204</v>
      </c>
      <c r="C78" s="1" t="s">
        <v>269</v>
      </c>
      <c r="D78" s="1"/>
      <c r="E78" s="1" t="s">
        <v>74</v>
      </c>
      <c r="F78" s="1" t="s">
        <v>270</v>
      </c>
      <c r="G78" s="1" t="s">
        <v>271</v>
      </c>
      <c r="H78" s="1" t="s">
        <v>272</v>
      </c>
      <c r="I78" s="2">
        <v>46274</v>
      </c>
      <c r="J78" s="1" t="s">
        <v>214</v>
      </c>
      <c r="K78" s="2">
        <v>46274</v>
      </c>
      <c r="L78" s="4">
        <v>1483.8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4">
        <v>1483.8</v>
      </c>
      <c r="S78" s="1" t="s">
        <v>26</v>
      </c>
      <c r="T78" s="2">
        <v>46274</v>
      </c>
      <c r="U78" s="1" t="s">
        <v>79</v>
      </c>
      <c r="V78" s="1" t="s">
        <v>28</v>
      </c>
      <c r="W78" s="1"/>
      <c r="X78" s="1" t="s">
        <v>29</v>
      </c>
      <c r="Y78" s="1" t="s">
        <v>30</v>
      </c>
      <c r="Z78" s="1" t="s">
        <v>404</v>
      </c>
      <c r="AA78" s="1" t="str">
        <f>IFERROR(VLOOKUP(Tabela2[[#This Row],[Natureza]],Tabela4[[#All],[NATUREZA]:[CATEGORIA]],6,FALSE),"")</f>
        <v>Equipamentos/Informática</v>
      </c>
    </row>
    <row r="79" spans="1:27" ht="15.75" x14ac:dyDescent="0.25">
      <c r="A79">
        <f>IF(Tabela2[[#This Row],[Natureza]]&lt;&gt;"",ROW(Tabela2[[#This Row],[Natureza]])-1)</f>
        <v>78</v>
      </c>
      <c r="B79" s="1" t="s">
        <v>34</v>
      </c>
      <c r="C79" s="1" t="s">
        <v>273</v>
      </c>
      <c r="D79" s="1"/>
      <c r="E79" s="1" t="s">
        <v>56</v>
      </c>
      <c r="F79" s="1" t="s">
        <v>274</v>
      </c>
      <c r="G79" s="1" t="s">
        <v>275</v>
      </c>
      <c r="H79" s="8" t="s">
        <v>259</v>
      </c>
      <c r="I79" s="2">
        <v>46274</v>
      </c>
      <c r="J79" s="1" t="s">
        <v>276</v>
      </c>
      <c r="K79" s="2">
        <v>46274</v>
      </c>
      <c r="L79" s="4">
        <v>293125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4">
        <v>293125</v>
      </c>
      <c r="S79" s="1" t="s">
        <v>26</v>
      </c>
      <c r="T79" s="2">
        <v>46274</v>
      </c>
      <c r="U79" s="1" t="s">
        <v>27</v>
      </c>
      <c r="V79" s="1" t="s">
        <v>28</v>
      </c>
      <c r="W79" s="1"/>
      <c r="X79" s="1" t="s">
        <v>29</v>
      </c>
      <c r="Y79" s="1" t="s">
        <v>30</v>
      </c>
      <c r="Z79" s="1" t="s">
        <v>404</v>
      </c>
      <c r="AA79" s="1" t="str">
        <f>IFERROR(VLOOKUP(Tabela2[[#This Row],[Natureza]],Tabela4[[#All],[NATUREZA]:[CATEGORIA]],6,FALSE),"")</f>
        <v>Serviços de Terceiros</v>
      </c>
    </row>
    <row r="80" spans="1:27" ht="15.75" x14ac:dyDescent="0.25">
      <c r="A80">
        <f>IF(Tabela2[[#This Row],[Natureza]]&lt;&gt;"",ROW(Tabela2[[#This Row],[Natureza]])-1)</f>
        <v>79</v>
      </c>
      <c r="B80" s="1" t="s">
        <v>34</v>
      </c>
      <c r="C80" s="1" t="s">
        <v>277</v>
      </c>
      <c r="D80" s="1"/>
      <c r="E80" s="1" t="s">
        <v>56</v>
      </c>
      <c r="F80" s="1" t="s">
        <v>100</v>
      </c>
      <c r="G80" s="1" t="s">
        <v>101</v>
      </c>
      <c r="H80" s="1" t="s">
        <v>102</v>
      </c>
      <c r="I80" s="2">
        <v>46274</v>
      </c>
      <c r="J80" s="1" t="s">
        <v>278</v>
      </c>
      <c r="K80" s="2">
        <v>46274</v>
      </c>
      <c r="L80" s="4">
        <v>10000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4">
        <v>10000</v>
      </c>
      <c r="S80" s="1" t="s">
        <v>26</v>
      </c>
      <c r="T80" s="2">
        <v>46274</v>
      </c>
      <c r="U80" s="1" t="s">
        <v>27</v>
      </c>
      <c r="V80" s="1" t="s">
        <v>28</v>
      </c>
      <c r="W80" s="1"/>
      <c r="X80" s="1" t="s">
        <v>29</v>
      </c>
      <c r="Y80" s="1" t="s">
        <v>30</v>
      </c>
      <c r="Z80" s="1" t="s">
        <v>404</v>
      </c>
      <c r="AA80" s="1" t="str">
        <f>IFERROR(VLOOKUP(Tabela2[[#This Row],[Natureza]],Tabela4[[#All],[NATUREZA]:[CATEGORIA]],6,FALSE),"")</f>
        <v>Reembolso/Prestação de Contas</v>
      </c>
    </row>
    <row r="81" spans="1:27" ht="15.75" x14ac:dyDescent="0.25">
      <c r="A81">
        <f>IF(Tabela2[[#This Row],[Natureza]]&lt;&gt;"",ROW(Tabela2[[#This Row],[Natureza]])-1)</f>
        <v>80</v>
      </c>
      <c r="B81" s="1"/>
      <c r="C81" s="1"/>
      <c r="D81" s="1"/>
      <c r="E81" s="1"/>
      <c r="F81" s="1"/>
      <c r="G81" s="1"/>
      <c r="H81" s="12" t="s">
        <v>473</v>
      </c>
      <c r="I81" s="2"/>
      <c r="J81" s="1" t="s">
        <v>31</v>
      </c>
      <c r="K81" s="2">
        <v>46274</v>
      </c>
      <c r="L81" s="4">
        <v>22549.279999999999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4">
        <v>22549.279999999999</v>
      </c>
      <c r="S81" s="1" t="s">
        <v>26</v>
      </c>
      <c r="T81" s="2">
        <v>46274</v>
      </c>
      <c r="U81" s="1" t="s">
        <v>27</v>
      </c>
      <c r="V81" s="1" t="s">
        <v>28</v>
      </c>
      <c r="W81" s="1"/>
      <c r="X81" s="1" t="s">
        <v>29</v>
      </c>
      <c r="Y81" s="1" t="s">
        <v>30</v>
      </c>
      <c r="Z81" s="1" t="s">
        <v>404</v>
      </c>
      <c r="AA81" s="1" t="str">
        <f>IFERROR(VLOOKUP(Tabela2[[#This Row],[Natureza]],Tabela4[[#All],[NATUREZA]:[CATEGORIA]],6,FALSE),"")</f>
        <v>CONTAMAX</v>
      </c>
    </row>
    <row r="82" spans="1:27" ht="15.75" x14ac:dyDescent="0.25">
      <c r="A82">
        <f>IF(Tabela2[[#This Row],[Natureza]]&lt;&gt;"",ROW(Tabela2[[#This Row],[Natureza]])-1)</f>
        <v>81</v>
      </c>
      <c r="B82" s="1"/>
      <c r="C82" s="1"/>
      <c r="D82" s="1"/>
      <c r="E82" s="1"/>
      <c r="F82" s="1"/>
      <c r="G82" s="1" t="s">
        <v>70</v>
      </c>
      <c r="H82" s="1" t="s">
        <v>50</v>
      </c>
      <c r="I82" s="2"/>
      <c r="J82" s="1" t="s">
        <v>238</v>
      </c>
      <c r="K82" s="2">
        <v>46275</v>
      </c>
      <c r="L82" s="4">
        <v>7.5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4">
        <v>7.5</v>
      </c>
      <c r="S82" s="1" t="s">
        <v>26</v>
      </c>
      <c r="T82" s="2">
        <v>46275</v>
      </c>
      <c r="U82" s="1" t="s">
        <v>27</v>
      </c>
      <c r="V82" s="1" t="s">
        <v>28</v>
      </c>
      <c r="W82" s="1"/>
      <c r="X82" s="1" t="s">
        <v>29</v>
      </c>
      <c r="Y82" s="1" t="s">
        <v>30</v>
      </c>
      <c r="Z82" s="1" t="s">
        <v>404</v>
      </c>
      <c r="AA82" s="1" t="str">
        <f>IFERROR(VLOOKUP(Tabela2[[#This Row],[Natureza]],Tabela4[[#All],[NATUREZA]:[CATEGORIA]],6,FALSE),"")</f>
        <v>Impostos/Tributos e Taxas</v>
      </c>
    </row>
    <row r="83" spans="1:27" ht="15.75" x14ac:dyDescent="0.25">
      <c r="A83">
        <f>IF(Tabela2[[#This Row],[Natureza]]&lt;&gt;"",ROW(Tabela2[[#This Row],[Natureza]])-1)</f>
        <v>82</v>
      </c>
      <c r="B83" s="1" t="s">
        <v>34</v>
      </c>
      <c r="C83" s="1" t="s">
        <v>282</v>
      </c>
      <c r="D83" s="1"/>
      <c r="E83" s="1" t="s">
        <v>56</v>
      </c>
      <c r="F83" s="1" t="s">
        <v>283</v>
      </c>
      <c r="G83" s="1" t="s">
        <v>284</v>
      </c>
      <c r="H83" s="8" t="s">
        <v>95</v>
      </c>
      <c r="I83" s="2">
        <v>46276</v>
      </c>
      <c r="J83" s="1" t="s">
        <v>285</v>
      </c>
      <c r="K83" s="2">
        <v>46276</v>
      </c>
      <c r="L83" s="4">
        <v>45429.3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4">
        <v>45429.3</v>
      </c>
      <c r="S83" s="1" t="s">
        <v>26</v>
      </c>
      <c r="T83" s="2">
        <v>46276</v>
      </c>
      <c r="U83" s="1" t="s">
        <v>27</v>
      </c>
      <c r="V83" s="1" t="s">
        <v>28</v>
      </c>
      <c r="W83" s="1" t="s">
        <v>52</v>
      </c>
      <c r="X83" s="1" t="s">
        <v>29</v>
      </c>
      <c r="Y83" s="1" t="s">
        <v>30</v>
      </c>
      <c r="Z83" s="1" t="s">
        <v>404</v>
      </c>
      <c r="AA83" s="1" t="str">
        <f>IFERROR(VLOOKUP(Tabela2[[#This Row],[Natureza]],Tabela4[[#All],[NATUREZA]:[CATEGORIA]],6,FALSE),"")</f>
        <v>Serviços de Terceiros</v>
      </c>
    </row>
    <row r="84" spans="1:27" ht="15.75" x14ac:dyDescent="0.25">
      <c r="A84">
        <f>IF(Tabela2[[#This Row],[Natureza]]&lt;&gt;"",ROW(Tabela2[[#This Row],[Natureza]])-1)</f>
        <v>83</v>
      </c>
      <c r="B84" s="1"/>
      <c r="C84" s="1"/>
      <c r="D84" s="1"/>
      <c r="E84" s="1"/>
      <c r="F84" s="1"/>
      <c r="G84" s="1"/>
      <c r="H84" s="12" t="s">
        <v>473</v>
      </c>
      <c r="I84" s="2"/>
      <c r="J84" s="1" t="s">
        <v>31</v>
      </c>
      <c r="K84" s="2">
        <v>46276</v>
      </c>
      <c r="L84" s="4">
        <v>54654.31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4">
        <v>54654.31</v>
      </c>
      <c r="S84" s="1" t="s">
        <v>26</v>
      </c>
      <c r="T84" s="2">
        <v>46276</v>
      </c>
      <c r="U84" s="1" t="s">
        <v>27</v>
      </c>
      <c r="V84" s="1" t="s">
        <v>28</v>
      </c>
      <c r="W84" s="1"/>
      <c r="X84" s="1" t="s">
        <v>29</v>
      </c>
      <c r="Y84" s="1" t="s">
        <v>30</v>
      </c>
      <c r="Z84" s="1" t="s">
        <v>404</v>
      </c>
      <c r="AA84" s="1" t="str">
        <f>IFERROR(VLOOKUP(Tabela2[[#This Row],[Natureza]],Tabela4[[#All],[NATUREZA]:[CATEGORIA]],6,FALSE),"")</f>
        <v>CONTAMAX</v>
      </c>
    </row>
    <row r="85" spans="1:27" ht="15.75" x14ac:dyDescent="0.25">
      <c r="A85">
        <f>IF(Tabela2[[#This Row],[Natureza]]&lt;&gt;"",ROW(Tabela2[[#This Row],[Natureza]])-1)</f>
        <v>84</v>
      </c>
      <c r="B85" s="1" t="s">
        <v>72</v>
      </c>
      <c r="C85" s="1" t="s">
        <v>287</v>
      </c>
      <c r="D85" s="1"/>
      <c r="E85" s="1" t="s">
        <v>74</v>
      </c>
      <c r="F85" s="1" t="s">
        <v>288</v>
      </c>
      <c r="G85" s="1" t="s">
        <v>289</v>
      </c>
      <c r="H85" s="1" t="s">
        <v>95</v>
      </c>
      <c r="I85" s="2">
        <v>46279</v>
      </c>
      <c r="J85" s="1" t="s">
        <v>290</v>
      </c>
      <c r="K85" s="2">
        <v>46279</v>
      </c>
      <c r="L85" s="4">
        <v>312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4">
        <v>312</v>
      </c>
      <c r="S85" s="1" t="s">
        <v>26</v>
      </c>
      <c r="T85" s="2">
        <v>46279</v>
      </c>
      <c r="U85" s="1" t="s">
        <v>79</v>
      </c>
      <c r="V85" s="1" t="s">
        <v>28</v>
      </c>
      <c r="W85" s="1"/>
      <c r="X85" s="1" t="s">
        <v>29</v>
      </c>
      <c r="Y85" s="1" t="s">
        <v>30</v>
      </c>
      <c r="Z85" s="1" t="s">
        <v>404</v>
      </c>
      <c r="AA85" s="1" t="str">
        <f>IFERROR(VLOOKUP(Tabela2[[#This Row],[Natureza]],Tabela4[[#All],[NATUREZA]:[CATEGORIA]],6,FALSE),"")</f>
        <v>Serviços de Terceiros</v>
      </c>
    </row>
    <row r="86" spans="1:27" ht="15.75" x14ac:dyDescent="0.25">
      <c r="A86">
        <f>IF(Tabela2[[#This Row],[Natureza]]&lt;&gt;"",ROW(Tabela2[[#This Row],[Natureza]])-1)</f>
        <v>85</v>
      </c>
      <c r="B86" s="1" t="s">
        <v>264</v>
      </c>
      <c r="C86" s="1" t="s">
        <v>291</v>
      </c>
      <c r="D86" s="1"/>
      <c r="E86" s="1" t="s">
        <v>74</v>
      </c>
      <c r="F86" s="1" t="s">
        <v>292</v>
      </c>
      <c r="G86" s="1" t="s">
        <v>293</v>
      </c>
      <c r="H86" s="1" t="s">
        <v>254</v>
      </c>
      <c r="I86" s="2">
        <v>46279</v>
      </c>
      <c r="J86" s="1" t="s">
        <v>214</v>
      </c>
      <c r="K86" s="2">
        <v>46279</v>
      </c>
      <c r="L86" s="4">
        <v>470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4">
        <v>470</v>
      </c>
      <c r="S86" s="1" t="s">
        <v>26</v>
      </c>
      <c r="T86" s="2">
        <v>46279</v>
      </c>
      <c r="U86" s="1" t="s">
        <v>79</v>
      </c>
      <c r="V86" s="1" t="s">
        <v>28</v>
      </c>
      <c r="W86" s="1"/>
      <c r="X86" s="1" t="s">
        <v>29</v>
      </c>
      <c r="Y86" s="1" t="s">
        <v>30</v>
      </c>
      <c r="Z86" s="1" t="s">
        <v>404</v>
      </c>
      <c r="AA86" s="1" t="str">
        <f>IFERROR(VLOOKUP(Tabela2[[#This Row],[Natureza]],Tabela4[[#All],[NATUREZA]:[CATEGORIA]],6,FALSE),"")</f>
        <v>Materiais/Peças/Ferramentas</v>
      </c>
    </row>
    <row r="87" spans="1:27" ht="15.75" x14ac:dyDescent="0.25">
      <c r="A87">
        <f>IF(Tabela2[[#This Row],[Natureza]]&lt;&gt;"",ROW(Tabela2[[#This Row],[Natureza]])-1)</f>
        <v>86</v>
      </c>
      <c r="B87" s="1" t="s">
        <v>264</v>
      </c>
      <c r="C87" s="1" t="s">
        <v>294</v>
      </c>
      <c r="D87" s="1"/>
      <c r="E87" s="1" t="s">
        <v>74</v>
      </c>
      <c r="F87" s="1" t="s">
        <v>295</v>
      </c>
      <c r="G87" s="1" t="s">
        <v>296</v>
      </c>
      <c r="H87" s="1" t="s">
        <v>297</v>
      </c>
      <c r="I87" s="2">
        <v>46279</v>
      </c>
      <c r="J87" s="1" t="s">
        <v>214</v>
      </c>
      <c r="K87" s="2">
        <v>46279</v>
      </c>
      <c r="L87" s="4">
        <v>2500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4">
        <v>2500</v>
      </c>
      <c r="S87" s="1" t="s">
        <v>26</v>
      </c>
      <c r="T87" s="2">
        <v>46279</v>
      </c>
      <c r="U87" s="1" t="s">
        <v>79</v>
      </c>
      <c r="V87" s="1" t="s">
        <v>28</v>
      </c>
      <c r="W87" s="1"/>
      <c r="X87" s="1" t="s">
        <v>29</v>
      </c>
      <c r="Y87" s="1" t="s">
        <v>30</v>
      </c>
      <c r="Z87" s="1" t="s">
        <v>404</v>
      </c>
      <c r="AA87" s="1" t="str">
        <f>IFERROR(VLOOKUP(Tabela2[[#This Row],[Natureza]],Tabela4[[#All],[NATUREZA]:[CATEGORIA]],6,FALSE),"")</f>
        <v>Materiais/Peças/Ferramentas</v>
      </c>
    </row>
    <row r="88" spans="1:27" ht="15.75" x14ac:dyDescent="0.25">
      <c r="A88">
        <f>IF(Tabela2[[#This Row],[Natureza]]&lt;&gt;"",ROW(Tabela2[[#This Row],[Natureza]])-1)</f>
        <v>87</v>
      </c>
      <c r="B88" s="1" t="s">
        <v>264</v>
      </c>
      <c r="C88" s="1" t="s">
        <v>298</v>
      </c>
      <c r="D88" s="1"/>
      <c r="E88" s="1" t="s">
        <v>74</v>
      </c>
      <c r="F88" s="1" t="s">
        <v>299</v>
      </c>
      <c r="G88" s="1" t="s">
        <v>300</v>
      </c>
      <c r="H88" s="1" t="s">
        <v>301</v>
      </c>
      <c r="I88" s="2">
        <v>46279</v>
      </c>
      <c r="J88" s="1" t="s">
        <v>214</v>
      </c>
      <c r="K88" s="2">
        <v>46279</v>
      </c>
      <c r="L88" s="4">
        <v>5480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4">
        <v>5480</v>
      </c>
      <c r="S88" s="1" t="s">
        <v>26</v>
      </c>
      <c r="T88" s="2">
        <v>46279</v>
      </c>
      <c r="U88" s="1" t="s">
        <v>79</v>
      </c>
      <c r="V88" s="1" t="s">
        <v>28</v>
      </c>
      <c r="W88" s="1"/>
      <c r="X88" s="1" t="s">
        <v>29</v>
      </c>
      <c r="Y88" s="1" t="s">
        <v>30</v>
      </c>
      <c r="Z88" s="1" t="s">
        <v>404</v>
      </c>
      <c r="AA88" s="1" t="str">
        <f>IFERROR(VLOOKUP(Tabela2[[#This Row],[Natureza]],Tabela4[[#All],[NATUREZA]:[CATEGORIA]],6,FALSE),"")</f>
        <v>Materiais/Peças/Ferramentas</v>
      </c>
    </row>
    <row r="89" spans="1:27" ht="15.75" x14ac:dyDescent="0.25">
      <c r="A89">
        <f>IF(Tabela2[[#This Row],[Natureza]]&lt;&gt;"",ROW(Tabela2[[#This Row],[Natureza]])-1)</f>
        <v>88</v>
      </c>
      <c r="B89" s="1" t="s">
        <v>264</v>
      </c>
      <c r="C89" s="1" t="s">
        <v>302</v>
      </c>
      <c r="D89" s="1"/>
      <c r="E89" s="1" t="s">
        <v>74</v>
      </c>
      <c r="F89" s="1" t="s">
        <v>266</v>
      </c>
      <c r="G89" s="1" t="s">
        <v>267</v>
      </c>
      <c r="H89" s="1" t="s">
        <v>303</v>
      </c>
      <c r="I89" s="2">
        <v>46279</v>
      </c>
      <c r="J89" s="1" t="s">
        <v>214</v>
      </c>
      <c r="K89" s="2">
        <v>46279</v>
      </c>
      <c r="L89" s="4">
        <v>350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4">
        <v>350</v>
      </c>
      <c r="S89" s="1" t="s">
        <v>26</v>
      </c>
      <c r="T89" s="2">
        <v>46279</v>
      </c>
      <c r="U89" s="1" t="s">
        <v>79</v>
      </c>
      <c r="V89" s="1" t="s">
        <v>28</v>
      </c>
      <c r="W89" s="1"/>
      <c r="X89" s="1" t="s">
        <v>29</v>
      </c>
      <c r="Y89" s="1" t="s">
        <v>30</v>
      </c>
      <c r="Z89" s="1" t="s">
        <v>404</v>
      </c>
      <c r="AA89" s="1" t="str">
        <f>IFERROR(VLOOKUP(Tabela2[[#This Row],[Natureza]],Tabela4[[#All],[NATUREZA]:[CATEGORIA]],6,FALSE),"")</f>
        <v>Materiais/Peças/Ferramentas</v>
      </c>
    </row>
    <row r="90" spans="1:27" ht="15.75" x14ac:dyDescent="0.25">
      <c r="A90">
        <f>IF(Tabela2[[#This Row],[Natureza]]&lt;&gt;"",ROW(Tabela2[[#This Row],[Natureza]])-1)</f>
        <v>89</v>
      </c>
      <c r="B90" s="1" t="s">
        <v>264</v>
      </c>
      <c r="C90" s="1" t="s">
        <v>304</v>
      </c>
      <c r="D90" s="1"/>
      <c r="E90" s="1" t="s">
        <v>74</v>
      </c>
      <c r="F90" s="1" t="s">
        <v>266</v>
      </c>
      <c r="G90" s="1" t="s">
        <v>267</v>
      </c>
      <c r="H90" s="1" t="s">
        <v>305</v>
      </c>
      <c r="I90" s="2">
        <v>46279</v>
      </c>
      <c r="J90" s="1" t="s">
        <v>214</v>
      </c>
      <c r="K90" s="2">
        <v>46279</v>
      </c>
      <c r="L90" s="4">
        <v>156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4">
        <v>156</v>
      </c>
      <c r="S90" s="1" t="s">
        <v>26</v>
      </c>
      <c r="T90" s="2">
        <v>46279</v>
      </c>
      <c r="U90" s="1" t="s">
        <v>79</v>
      </c>
      <c r="V90" s="1" t="s">
        <v>28</v>
      </c>
      <c r="W90" s="1"/>
      <c r="X90" s="1" t="s">
        <v>29</v>
      </c>
      <c r="Y90" s="1" t="s">
        <v>30</v>
      </c>
      <c r="Z90" s="1" t="s">
        <v>404</v>
      </c>
      <c r="AA90" s="1" t="str">
        <f>IFERROR(VLOOKUP(Tabela2[[#This Row],[Natureza]],Tabela4[[#All],[NATUREZA]:[CATEGORIA]],6,FALSE),"")</f>
        <v>Materiais/Peças/Ferramentas</v>
      </c>
    </row>
    <row r="91" spans="1:27" ht="15.75" x14ac:dyDescent="0.25">
      <c r="A91">
        <f>IF(Tabela2[[#This Row],[Natureza]]&lt;&gt;"",ROW(Tabela2[[#This Row],[Natureza]])-1)</f>
        <v>90</v>
      </c>
      <c r="B91" s="1" t="s">
        <v>264</v>
      </c>
      <c r="C91" s="1" t="s">
        <v>306</v>
      </c>
      <c r="D91" s="1"/>
      <c r="E91" s="1" t="s">
        <v>74</v>
      </c>
      <c r="F91" s="1" t="s">
        <v>266</v>
      </c>
      <c r="G91" s="1" t="s">
        <v>267</v>
      </c>
      <c r="H91" s="1" t="s">
        <v>307</v>
      </c>
      <c r="I91" s="2">
        <v>46279</v>
      </c>
      <c r="J91" s="1" t="s">
        <v>214</v>
      </c>
      <c r="K91" s="2">
        <v>46279</v>
      </c>
      <c r="L91" s="4">
        <v>396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4">
        <v>396</v>
      </c>
      <c r="S91" s="1" t="s">
        <v>26</v>
      </c>
      <c r="T91" s="2">
        <v>46279</v>
      </c>
      <c r="U91" s="1" t="s">
        <v>79</v>
      </c>
      <c r="V91" s="1" t="s">
        <v>28</v>
      </c>
      <c r="W91" s="1"/>
      <c r="X91" s="1" t="s">
        <v>29</v>
      </c>
      <c r="Y91" s="1" t="s">
        <v>30</v>
      </c>
      <c r="Z91" s="1" t="s">
        <v>404</v>
      </c>
      <c r="AA91" s="1" t="str">
        <f>IFERROR(VLOOKUP(Tabela2[[#This Row],[Natureza]],Tabela4[[#All],[NATUREZA]:[CATEGORIA]],6,FALSE),"")</f>
        <v>Materiais/Peças/Ferramentas</v>
      </c>
    </row>
    <row r="92" spans="1:27" ht="15.75" x14ac:dyDescent="0.25">
      <c r="A92">
        <f>IF(Tabela2[[#This Row],[Natureza]]&lt;&gt;"",ROW(Tabela2[[#This Row],[Natureza]])-1)</f>
        <v>91</v>
      </c>
      <c r="B92" s="1" t="s">
        <v>308</v>
      </c>
      <c r="C92" s="1" t="s">
        <v>309</v>
      </c>
      <c r="D92" s="1"/>
      <c r="E92" s="1" t="s">
        <v>308</v>
      </c>
      <c r="F92" s="1" t="s">
        <v>225</v>
      </c>
      <c r="G92" s="1" t="s">
        <v>226</v>
      </c>
      <c r="H92" s="8" t="s">
        <v>227</v>
      </c>
      <c r="I92" s="2">
        <v>46279</v>
      </c>
      <c r="J92" s="1" t="s">
        <v>310</v>
      </c>
      <c r="K92" s="2">
        <v>46279</v>
      </c>
      <c r="L92" s="4">
        <v>73271.64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4">
        <v>73271.64</v>
      </c>
      <c r="S92" s="1" t="s">
        <v>26</v>
      </c>
      <c r="T92" s="2">
        <v>46279</v>
      </c>
      <c r="U92" s="1" t="s">
        <v>79</v>
      </c>
      <c r="V92" s="1" t="s">
        <v>28</v>
      </c>
      <c r="W92" s="1"/>
      <c r="X92" s="1" t="s">
        <v>29</v>
      </c>
      <c r="Y92" s="1" t="s">
        <v>30</v>
      </c>
      <c r="Z92" s="1" t="s">
        <v>404</v>
      </c>
      <c r="AA92" s="1" t="str">
        <f>IFERROR(VLOOKUP(Tabela2[[#This Row],[Natureza]],Tabela4[[#All],[NATUREZA]:[CATEGORIA]],6,FALSE),"")</f>
        <v>Folha e Benefícios</v>
      </c>
    </row>
    <row r="93" spans="1:27" ht="15.75" x14ac:dyDescent="0.25">
      <c r="A93">
        <f>IF(Tabela2[[#This Row],[Natureza]]&lt;&gt;"",ROW(Tabela2[[#This Row],[Natureza]])-1)</f>
        <v>92</v>
      </c>
      <c r="B93" s="1"/>
      <c r="C93" s="1"/>
      <c r="D93" s="1"/>
      <c r="E93" s="1"/>
      <c r="F93" s="1"/>
      <c r="G93" s="1" t="s">
        <v>70</v>
      </c>
      <c r="H93" s="1" t="s">
        <v>50</v>
      </c>
      <c r="I93" s="2"/>
      <c r="J93" s="1" t="s">
        <v>238</v>
      </c>
      <c r="K93" s="2">
        <v>46279</v>
      </c>
      <c r="L93" s="4">
        <v>1.5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4">
        <v>1.5</v>
      </c>
      <c r="S93" s="1" t="s">
        <v>26</v>
      </c>
      <c r="T93" s="2">
        <v>46279</v>
      </c>
      <c r="U93" s="1" t="s">
        <v>27</v>
      </c>
      <c r="V93" s="1" t="s">
        <v>28</v>
      </c>
      <c r="W93" s="1"/>
      <c r="X93" s="1" t="s">
        <v>29</v>
      </c>
      <c r="Y93" s="1" t="s">
        <v>30</v>
      </c>
      <c r="Z93" s="1" t="s">
        <v>404</v>
      </c>
      <c r="AA93" s="1" t="str">
        <f>IFERROR(VLOOKUP(Tabela2[[#This Row],[Natureza]],Tabela4[[#All],[NATUREZA]:[CATEGORIA]],6,FALSE),"")</f>
        <v>Impostos/Tributos e Taxas</v>
      </c>
    </row>
    <row r="94" spans="1:27" ht="15.75" x14ac:dyDescent="0.25">
      <c r="A94">
        <f>IF(Tabela2[[#This Row],[Natureza]]&lt;&gt;"",ROW(Tabela2[[#This Row],[Natureza]])-1)</f>
        <v>93</v>
      </c>
      <c r="B94" s="1" t="s">
        <v>34</v>
      </c>
      <c r="C94" s="1" t="s">
        <v>311</v>
      </c>
      <c r="D94" s="1"/>
      <c r="E94" s="1" t="s">
        <v>56</v>
      </c>
      <c r="F94" s="1" t="s">
        <v>312</v>
      </c>
      <c r="G94" s="1" t="s">
        <v>313</v>
      </c>
      <c r="H94" s="1" t="s">
        <v>126</v>
      </c>
      <c r="I94" s="2">
        <v>46279</v>
      </c>
      <c r="J94" s="1" t="s">
        <v>314</v>
      </c>
      <c r="K94" s="2">
        <v>46279</v>
      </c>
      <c r="L94" s="4">
        <v>8355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4">
        <v>8355</v>
      </c>
      <c r="S94" s="1" t="s">
        <v>26</v>
      </c>
      <c r="T94" s="2">
        <v>46279</v>
      </c>
      <c r="U94" s="1" t="s">
        <v>27</v>
      </c>
      <c r="V94" s="1" t="s">
        <v>28</v>
      </c>
      <c r="W94" s="1" t="s">
        <v>52</v>
      </c>
      <c r="X94" s="1" t="s">
        <v>29</v>
      </c>
      <c r="Y94" s="1" t="s">
        <v>30</v>
      </c>
      <c r="Z94" s="1" t="s">
        <v>404</v>
      </c>
      <c r="AA94" s="1" t="str">
        <f>IFERROR(VLOOKUP(Tabela2[[#This Row],[Natureza]],Tabela4[[#All],[NATUREZA]:[CATEGORIA]],6,FALSE),"")</f>
        <v>Locação de Imóveis</v>
      </c>
    </row>
    <row r="95" spans="1:27" ht="15.75" x14ac:dyDescent="0.25">
      <c r="A95">
        <f>IF(Tabela2[[#This Row],[Natureza]]&lt;&gt;"",ROW(Tabela2[[#This Row],[Natureza]])-1)</f>
        <v>94</v>
      </c>
      <c r="B95" s="1"/>
      <c r="C95" s="1"/>
      <c r="D95" s="1"/>
      <c r="E95" s="1"/>
      <c r="F95" s="1"/>
      <c r="G95" s="1"/>
      <c r="H95" s="12" t="s">
        <v>473</v>
      </c>
      <c r="I95" s="2"/>
      <c r="J95" s="1" t="s">
        <v>31</v>
      </c>
      <c r="K95" s="2">
        <v>46279</v>
      </c>
      <c r="L95" s="4">
        <v>8837.83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4">
        <v>8837.83</v>
      </c>
      <c r="S95" s="1" t="s">
        <v>26</v>
      </c>
      <c r="T95" s="2">
        <v>46279</v>
      </c>
      <c r="U95" s="1" t="s">
        <v>27</v>
      </c>
      <c r="V95" s="1" t="s">
        <v>28</v>
      </c>
      <c r="W95" s="1"/>
      <c r="X95" s="1" t="s">
        <v>29</v>
      </c>
      <c r="Y95" s="1" t="s">
        <v>30</v>
      </c>
      <c r="Z95" s="1" t="s">
        <v>404</v>
      </c>
      <c r="AA95" s="1" t="str">
        <f>IFERROR(VLOOKUP(Tabela2[[#This Row],[Natureza]],Tabela4[[#All],[NATUREZA]:[CATEGORIA]],6,FALSE),"")</f>
        <v>CONTAMAX</v>
      </c>
    </row>
    <row r="96" spans="1:27" ht="15.75" x14ac:dyDescent="0.25">
      <c r="A96">
        <f>IF(Tabela2[[#This Row],[Natureza]]&lt;&gt;"",ROW(Tabela2[[#This Row],[Natureza]])-1)</f>
        <v>95</v>
      </c>
      <c r="B96" s="1"/>
      <c r="C96" s="1"/>
      <c r="D96" s="1"/>
      <c r="E96" s="1"/>
      <c r="F96" s="1"/>
      <c r="G96" s="1" t="s">
        <v>70</v>
      </c>
      <c r="H96" s="1" t="s">
        <v>50</v>
      </c>
      <c r="I96" s="2"/>
      <c r="J96" s="1" t="s">
        <v>238</v>
      </c>
      <c r="K96" s="2">
        <v>46280</v>
      </c>
      <c r="L96" s="4">
        <v>0.4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4">
        <v>0.4</v>
      </c>
      <c r="S96" s="1" t="s">
        <v>26</v>
      </c>
      <c r="T96" s="2">
        <v>46280</v>
      </c>
      <c r="U96" s="1" t="s">
        <v>27</v>
      </c>
      <c r="V96" s="1" t="s">
        <v>28</v>
      </c>
      <c r="W96" s="1"/>
      <c r="X96" s="1" t="s">
        <v>29</v>
      </c>
      <c r="Y96" s="1" t="s">
        <v>30</v>
      </c>
      <c r="Z96" s="1" t="s">
        <v>404</v>
      </c>
      <c r="AA96" s="1" t="str">
        <f>IFERROR(VLOOKUP(Tabela2[[#This Row],[Natureza]],Tabela4[[#All],[NATUREZA]:[CATEGORIA]],6,FALSE),"")</f>
        <v>Impostos/Tributos e Taxas</v>
      </c>
    </row>
    <row r="97" spans="1:27" ht="15.75" x14ac:dyDescent="0.25">
      <c r="A97">
        <f>IF(Tabela2[[#This Row],[Natureza]]&lt;&gt;"",ROW(Tabela2[[#This Row],[Natureza]])-1)</f>
        <v>96</v>
      </c>
      <c r="B97" s="1"/>
      <c r="C97" s="1"/>
      <c r="D97" s="1"/>
      <c r="E97" s="1"/>
      <c r="F97" s="1"/>
      <c r="G97" s="1" t="s">
        <v>70</v>
      </c>
      <c r="H97" s="1" t="s">
        <v>50</v>
      </c>
      <c r="I97" s="2"/>
      <c r="J97" s="1" t="s">
        <v>317</v>
      </c>
      <c r="K97" s="2">
        <v>46280</v>
      </c>
      <c r="L97" s="4">
        <v>4.8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4">
        <v>4.8</v>
      </c>
      <c r="S97" s="1" t="s">
        <v>26</v>
      </c>
      <c r="T97" s="2">
        <v>46280</v>
      </c>
      <c r="U97" s="1" t="s">
        <v>27</v>
      </c>
      <c r="V97" s="1" t="s">
        <v>28</v>
      </c>
      <c r="W97" s="1"/>
      <c r="X97" s="1" t="s">
        <v>29</v>
      </c>
      <c r="Y97" s="1" t="s">
        <v>30</v>
      </c>
      <c r="Z97" s="1" t="s">
        <v>404</v>
      </c>
      <c r="AA97" s="1" t="str">
        <f>IFERROR(VLOOKUP(Tabela2[[#This Row],[Natureza]],Tabela4[[#All],[NATUREZA]:[CATEGORIA]],6,FALSE),"")</f>
        <v>Impostos/Tributos e Taxas</v>
      </c>
    </row>
    <row r="98" spans="1:27" ht="15.75" x14ac:dyDescent="0.25">
      <c r="A98">
        <f>IF(Tabela2[[#This Row],[Natureza]]&lt;&gt;"",ROW(Tabela2[[#This Row],[Natureza]])-1)</f>
        <v>97</v>
      </c>
      <c r="B98" s="1" t="s">
        <v>72</v>
      </c>
      <c r="C98" s="1" t="s">
        <v>319</v>
      </c>
      <c r="D98" s="1"/>
      <c r="E98" s="1" t="s">
        <v>74</v>
      </c>
      <c r="F98" s="1" t="s">
        <v>257</v>
      </c>
      <c r="G98" s="1" t="s">
        <v>258</v>
      </c>
      <c r="H98" s="1" t="s">
        <v>259</v>
      </c>
      <c r="I98" s="2">
        <v>46281</v>
      </c>
      <c r="J98" s="1" t="s">
        <v>320</v>
      </c>
      <c r="K98" s="2">
        <v>46281</v>
      </c>
      <c r="L98" s="4">
        <v>1790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4">
        <v>1679.91</v>
      </c>
      <c r="S98" s="1" t="s">
        <v>26</v>
      </c>
      <c r="T98" s="2">
        <v>46281</v>
      </c>
      <c r="U98" s="1" t="s">
        <v>79</v>
      </c>
      <c r="V98" s="1" t="s">
        <v>28</v>
      </c>
      <c r="W98" s="1"/>
      <c r="X98" s="1" t="s">
        <v>29</v>
      </c>
      <c r="Y98" s="1" t="s">
        <v>30</v>
      </c>
      <c r="Z98" s="1" t="s">
        <v>404</v>
      </c>
      <c r="AA98" s="1" t="str">
        <f>IFERROR(VLOOKUP(Tabela2[[#This Row],[Natureza]],Tabela4[[#All],[NATUREZA]:[CATEGORIA]],6,FALSE),"")</f>
        <v>Serviços de Terceiros</v>
      </c>
    </row>
    <row r="99" spans="1:27" ht="15.75" x14ac:dyDescent="0.25">
      <c r="A99">
        <f>IF(Tabela2[[#This Row],[Natureza]]&lt;&gt;"",ROW(Tabela2[[#This Row],[Natureza]])-1)</f>
        <v>98</v>
      </c>
      <c r="B99" s="1" t="s">
        <v>72</v>
      </c>
      <c r="C99" s="1" t="s">
        <v>321</v>
      </c>
      <c r="D99" s="1"/>
      <c r="E99" s="1" t="s">
        <v>74</v>
      </c>
      <c r="F99" s="1" t="s">
        <v>322</v>
      </c>
      <c r="G99" s="1" t="s">
        <v>323</v>
      </c>
      <c r="H99" s="1" t="s">
        <v>259</v>
      </c>
      <c r="I99" s="2">
        <v>46281</v>
      </c>
      <c r="J99" s="1" t="s">
        <v>324</v>
      </c>
      <c r="K99" s="2">
        <v>46281</v>
      </c>
      <c r="L99" s="4">
        <v>500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4">
        <v>500</v>
      </c>
      <c r="S99" s="1" t="s">
        <v>26</v>
      </c>
      <c r="T99" s="2">
        <v>46281</v>
      </c>
      <c r="U99" s="1" t="s">
        <v>79</v>
      </c>
      <c r="V99" s="1" t="s">
        <v>28</v>
      </c>
      <c r="W99" s="1"/>
      <c r="X99" s="1" t="s">
        <v>29</v>
      </c>
      <c r="Y99" s="1" t="s">
        <v>30</v>
      </c>
      <c r="Z99" s="1" t="s">
        <v>404</v>
      </c>
      <c r="AA99" s="1" t="str">
        <f>IFERROR(VLOOKUP(Tabela2[[#This Row],[Natureza]],Tabela4[[#All],[NATUREZA]:[CATEGORIA]],6,FALSE),"")</f>
        <v>Serviços de Terceiros</v>
      </c>
    </row>
    <row r="100" spans="1:27" ht="15.75" x14ac:dyDescent="0.25">
      <c r="A100">
        <f>IF(Tabela2[[#This Row],[Natureza]]&lt;&gt;"",ROW(Tabela2[[#This Row],[Natureza]])-1)</f>
        <v>99</v>
      </c>
      <c r="B100" s="1" t="s">
        <v>72</v>
      </c>
      <c r="C100" s="1" t="s">
        <v>325</v>
      </c>
      <c r="D100" s="1"/>
      <c r="E100" s="1" t="s">
        <v>74</v>
      </c>
      <c r="F100" s="1" t="s">
        <v>75</v>
      </c>
      <c r="G100" s="1" t="s">
        <v>76</v>
      </c>
      <c r="H100" s="1" t="s">
        <v>77</v>
      </c>
      <c r="I100" s="2">
        <v>46281</v>
      </c>
      <c r="J100" s="1" t="s">
        <v>326</v>
      </c>
      <c r="K100" s="2">
        <v>46281</v>
      </c>
      <c r="L100" s="4">
        <v>1060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4">
        <v>1060</v>
      </c>
      <c r="S100" s="1" t="s">
        <v>26</v>
      </c>
      <c r="T100" s="2">
        <v>46281</v>
      </c>
      <c r="U100" s="1" t="s">
        <v>79</v>
      </c>
      <c r="V100" s="1" t="s">
        <v>28</v>
      </c>
      <c r="W100" s="1"/>
      <c r="X100" s="1" t="s">
        <v>29</v>
      </c>
      <c r="Y100" s="1" t="s">
        <v>30</v>
      </c>
      <c r="Z100" s="1" t="s">
        <v>404</v>
      </c>
      <c r="AA100" s="1" t="str">
        <f>IFERROR(VLOOKUP(Tabela2[[#This Row],[Natureza]],Tabela4[[#All],[NATUREZA]:[CATEGORIA]],6,FALSE),"")</f>
        <v>Alimentação</v>
      </c>
    </row>
    <row r="101" spans="1:27" ht="15.75" x14ac:dyDescent="0.25">
      <c r="A101">
        <f>IF(Tabela2[[#This Row],[Natureza]]&lt;&gt;"",ROW(Tabela2[[#This Row],[Natureza]])-1)</f>
        <v>100</v>
      </c>
      <c r="B101" s="1" t="s">
        <v>72</v>
      </c>
      <c r="C101" s="1" t="s">
        <v>327</v>
      </c>
      <c r="D101" s="1"/>
      <c r="E101" s="1" t="s">
        <v>74</v>
      </c>
      <c r="F101" s="1" t="s">
        <v>88</v>
      </c>
      <c r="G101" s="1" t="s">
        <v>89</v>
      </c>
      <c r="H101" s="1" t="s">
        <v>90</v>
      </c>
      <c r="I101" s="2">
        <v>46281</v>
      </c>
      <c r="J101" s="1" t="s">
        <v>328</v>
      </c>
      <c r="K101" s="2">
        <v>46281</v>
      </c>
      <c r="L101" s="4">
        <v>250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4">
        <v>250</v>
      </c>
      <c r="S101" s="1" t="s">
        <v>26</v>
      </c>
      <c r="T101" s="2">
        <v>46281</v>
      </c>
      <c r="U101" s="1" t="s">
        <v>79</v>
      </c>
      <c r="V101" s="1" t="s">
        <v>28</v>
      </c>
      <c r="W101" s="1"/>
      <c r="X101" s="1" t="s">
        <v>29</v>
      </c>
      <c r="Y101" s="1" t="s">
        <v>30</v>
      </c>
      <c r="Z101" s="1" t="s">
        <v>404</v>
      </c>
      <c r="AA101" s="1" t="str">
        <f>IFERROR(VLOOKUP(Tabela2[[#This Row],[Natureza]],Tabela4[[#All],[NATUREZA]:[CATEGORIA]],6,FALSE),"")</f>
        <v>Serviços de Terceiros</v>
      </c>
    </row>
    <row r="102" spans="1:27" ht="15.75" x14ac:dyDescent="0.25">
      <c r="A102">
        <f>IF(Tabela2[[#This Row],[Natureza]]&lt;&gt;"",ROW(Tabela2[[#This Row],[Natureza]])-1)</f>
        <v>101</v>
      </c>
      <c r="B102" s="1" t="s">
        <v>72</v>
      </c>
      <c r="C102" s="1" t="s">
        <v>329</v>
      </c>
      <c r="D102" s="1"/>
      <c r="E102" s="1" t="s">
        <v>74</v>
      </c>
      <c r="F102" s="1" t="s">
        <v>88</v>
      </c>
      <c r="G102" s="1" t="s">
        <v>89</v>
      </c>
      <c r="H102" s="1" t="s">
        <v>90</v>
      </c>
      <c r="I102" s="2">
        <v>46281</v>
      </c>
      <c r="J102" s="1" t="s">
        <v>328</v>
      </c>
      <c r="K102" s="2">
        <v>46281</v>
      </c>
      <c r="L102" s="4">
        <v>250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4">
        <v>250</v>
      </c>
      <c r="S102" s="1" t="s">
        <v>26</v>
      </c>
      <c r="T102" s="2">
        <v>46281</v>
      </c>
      <c r="U102" s="1" t="s">
        <v>79</v>
      </c>
      <c r="V102" s="1" t="s">
        <v>28</v>
      </c>
      <c r="W102" s="1"/>
      <c r="X102" s="1" t="s">
        <v>29</v>
      </c>
      <c r="Y102" s="1" t="s">
        <v>30</v>
      </c>
      <c r="Z102" s="1" t="s">
        <v>404</v>
      </c>
      <c r="AA102" s="1" t="str">
        <f>IFERROR(VLOOKUP(Tabela2[[#This Row],[Natureza]],Tabela4[[#All],[NATUREZA]:[CATEGORIA]],6,FALSE),"")</f>
        <v>Serviços de Terceiros</v>
      </c>
    </row>
    <row r="103" spans="1:27" ht="15.75" x14ac:dyDescent="0.25">
      <c r="A103">
        <f>IF(Tabela2[[#This Row],[Natureza]]&lt;&gt;"",ROW(Tabela2[[#This Row],[Natureza]])-1)</f>
        <v>102</v>
      </c>
      <c r="B103" s="1" t="s">
        <v>72</v>
      </c>
      <c r="C103" s="1" t="s">
        <v>330</v>
      </c>
      <c r="D103" s="1"/>
      <c r="E103" s="1" t="s">
        <v>74</v>
      </c>
      <c r="F103" s="1" t="s">
        <v>88</v>
      </c>
      <c r="G103" s="1" t="s">
        <v>89</v>
      </c>
      <c r="H103" s="1" t="s">
        <v>90</v>
      </c>
      <c r="I103" s="2">
        <v>46281</v>
      </c>
      <c r="J103" s="1" t="s">
        <v>328</v>
      </c>
      <c r="K103" s="2">
        <v>46281</v>
      </c>
      <c r="L103" s="4">
        <v>250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4">
        <v>250</v>
      </c>
      <c r="S103" s="1" t="s">
        <v>26</v>
      </c>
      <c r="T103" s="2">
        <v>46281</v>
      </c>
      <c r="U103" s="1" t="s">
        <v>79</v>
      </c>
      <c r="V103" s="1" t="s">
        <v>28</v>
      </c>
      <c r="W103" s="1"/>
      <c r="X103" s="1" t="s">
        <v>29</v>
      </c>
      <c r="Y103" s="1" t="s">
        <v>30</v>
      </c>
      <c r="Z103" s="1" t="s">
        <v>404</v>
      </c>
      <c r="AA103" s="1" t="str">
        <f>IFERROR(VLOOKUP(Tabela2[[#This Row],[Natureza]],Tabela4[[#All],[NATUREZA]:[CATEGORIA]],6,FALSE),"")</f>
        <v>Serviços de Terceiros</v>
      </c>
    </row>
    <row r="104" spans="1:27" ht="15.75" x14ac:dyDescent="0.25">
      <c r="A104">
        <f>IF(Tabela2[[#This Row],[Natureza]]&lt;&gt;"",ROW(Tabela2[[#This Row],[Natureza]])-1)</f>
        <v>103</v>
      </c>
      <c r="B104" s="1" t="s">
        <v>72</v>
      </c>
      <c r="C104" s="1" t="s">
        <v>331</v>
      </c>
      <c r="D104" s="1"/>
      <c r="E104" s="1" t="s">
        <v>74</v>
      </c>
      <c r="F104" s="1" t="s">
        <v>88</v>
      </c>
      <c r="G104" s="1" t="s">
        <v>89</v>
      </c>
      <c r="H104" s="1" t="s">
        <v>90</v>
      </c>
      <c r="I104" s="2">
        <v>46281</v>
      </c>
      <c r="J104" s="1" t="s">
        <v>328</v>
      </c>
      <c r="K104" s="2">
        <v>46281</v>
      </c>
      <c r="L104" s="4">
        <v>250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4">
        <v>250</v>
      </c>
      <c r="S104" s="1" t="s">
        <v>26</v>
      </c>
      <c r="T104" s="2">
        <v>46281</v>
      </c>
      <c r="U104" s="1" t="s">
        <v>79</v>
      </c>
      <c r="V104" s="1" t="s">
        <v>28</v>
      </c>
      <c r="W104" s="1"/>
      <c r="X104" s="1" t="s">
        <v>29</v>
      </c>
      <c r="Y104" s="1" t="s">
        <v>30</v>
      </c>
      <c r="Z104" s="1" t="s">
        <v>404</v>
      </c>
      <c r="AA104" s="1" t="str">
        <f>IFERROR(VLOOKUP(Tabela2[[#This Row],[Natureza]],Tabela4[[#All],[NATUREZA]:[CATEGORIA]],6,FALSE),"")</f>
        <v>Serviços de Terceiros</v>
      </c>
    </row>
    <row r="105" spans="1:27" ht="15.75" x14ac:dyDescent="0.25">
      <c r="A105">
        <f>IF(Tabela2[[#This Row],[Natureza]]&lt;&gt;"",ROW(Tabela2[[#This Row],[Natureza]])-1)</f>
        <v>104</v>
      </c>
      <c r="B105" s="1" t="s">
        <v>72</v>
      </c>
      <c r="C105" s="1" t="s">
        <v>332</v>
      </c>
      <c r="D105" s="1"/>
      <c r="E105" s="1" t="s">
        <v>74</v>
      </c>
      <c r="F105" s="1" t="s">
        <v>172</v>
      </c>
      <c r="G105" s="1" t="s">
        <v>173</v>
      </c>
      <c r="H105" s="1" t="s">
        <v>77</v>
      </c>
      <c r="I105" s="2">
        <v>46281</v>
      </c>
      <c r="J105" s="1" t="s">
        <v>333</v>
      </c>
      <c r="K105" s="2">
        <v>46281</v>
      </c>
      <c r="L105" s="4">
        <v>6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4">
        <v>6</v>
      </c>
      <c r="S105" s="1" t="s">
        <v>26</v>
      </c>
      <c r="T105" s="2">
        <v>46281</v>
      </c>
      <c r="U105" s="1" t="s">
        <v>79</v>
      </c>
      <c r="V105" s="1" t="s">
        <v>28</v>
      </c>
      <c r="W105" s="1"/>
      <c r="X105" s="1" t="s">
        <v>29</v>
      </c>
      <c r="Y105" s="1" t="s">
        <v>30</v>
      </c>
      <c r="Z105" s="1" t="s">
        <v>404</v>
      </c>
      <c r="AA105" s="1" t="str">
        <f>IFERROR(VLOOKUP(Tabela2[[#This Row],[Natureza]],Tabela4[[#All],[NATUREZA]:[CATEGORIA]],6,FALSE),"")</f>
        <v>Alimentação</v>
      </c>
    </row>
    <row r="106" spans="1:27" ht="15.75" x14ac:dyDescent="0.25">
      <c r="A106">
        <f>IF(Tabela2[[#This Row],[Natureza]]&lt;&gt;"",ROW(Tabela2[[#This Row],[Natureza]])-1)</f>
        <v>105</v>
      </c>
      <c r="B106" s="1" t="s">
        <v>72</v>
      </c>
      <c r="C106" s="1" t="s">
        <v>334</v>
      </c>
      <c r="D106" s="1"/>
      <c r="E106" s="1" t="s">
        <v>74</v>
      </c>
      <c r="F106" s="1" t="s">
        <v>172</v>
      </c>
      <c r="G106" s="1" t="s">
        <v>173</v>
      </c>
      <c r="H106" s="1" t="s">
        <v>77</v>
      </c>
      <c r="I106" s="2">
        <v>46281</v>
      </c>
      <c r="J106" s="1" t="s">
        <v>335</v>
      </c>
      <c r="K106" s="2">
        <v>46281</v>
      </c>
      <c r="L106" s="4">
        <v>6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4">
        <v>6</v>
      </c>
      <c r="S106" s="1" t="s">
        <v>26</v>
      </c>
      <c r="T106" s="2">
        <v>46281</v>
      </c>
      <c r="U106" s="1" t="s">
        <v>79</v>
      </c>
      <c r="V106" s="1" t="s">
        <v>28</v>
      </c>
      <c r="W106" s="1"/>
      <c r="X106" s="1" t="s">
        <v>29</v>
      </c>
      <c r="Y106" s="1" t="s">
        <v>30</v>
      </c>
      <c r="Z106" s="1" t="s">
        <v>404</v>
      </c>
      <c r="AA106" s="1" t="str">
        <f>IFERROR(VLOOKUP(Tabela2[[#This Row],[Natureza]],Tabela4[[#All],[NATUREZA]:[CATEGORIA]],6,FALSE),"")</f>
        <v>Alimentação</v>
      </c>
    </row>
    <row r="107" spans="1:27" ht="15.75" x14ac:dyDescent="0.25">
      <c r="A107">
        <f>IF(Tabela2[[#This Row],[Natureza]]&lt;&gt;"",ROW(Tabela2[[#This Row],[Natureza]])-1)</f>
        <v>106</v>
      </c>
      <c r="B107" s="1" t="s">
        <v>72</v>
      </c>
      <c r="C107" s="1" t="s">
        <v>336</v>
      </c>
      <c r="D107" s="1"/>
      <c r="E107" s="1" t="s">
        <v>74</v>
      </c>
      <c r="F107" s="1" t="s">
        <v>88</v>
      </c>
      <c r="G107" s="1" t="s">
        <v>89</v>
      </c>
      <c r="H107" s="1" t="s">
        <v>90</v>
      </c>
      <c r="I107" s="2">
        <v>46281</v>
      </c>
      <c r="J107" s="1" t="s">
        <v>337</v>
      </c>
      <c r="K107" s="2">
        <v>46281</v>
      </c>
      <c r="L107" s="4">
        <v>371.33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4">
        <v>371.33</v>
      </c>
      <c r="S107" s="1" t="s">
        <v>26</v>
      </c>
      <c r="T107" s="2">
        <v>46281</v>
      </c>
      <c r="U107" s="1" t="s">
        <v>79</v>
      </c>
      <c r="V107" s="1" t="s">
        <v>28</v>
      </c>
      <c r="W107" s="1"/>
      <c r="X107" s="1" t="s">
        <v>29</v>
      </c>
      <c r="Y107" s="1" t="s">
        <v>30</v>
      </c>
      <c r="Z107" s="1" t="s">
        <v>404</v>
      </c>
      <c r="AA107" s="1" t="str">
        <f>IFERROR(VLOOKUP(Tabela2[[#This Row],[Natureza]],Tabela4[[#All],[NATUREZA]:[CATEGORIA]],6,FALSE),"")</f>
        <v>Serviços de Terceiros</v>
      </c>
    </row>
    <row r="108" spans="1:27" ht="15.75" x14ac:dyDescent="0.25">
      <c r="A108">
        <f>IF(Tabela2[[#This Row],[Natureza]]&lt;&gt;"",ROW(Tabela2[[#This Row],[Natureza]])-1)</f>
        <v>107</v>
      </c>
      <c r="B108" s="1" t="s">
        <v>72</v>
      </c>
      <c r="C108" s="1" t="s">
        <v>338</v>
      </c>
      <c r="D108" s="1"/>
      <c r="E108" s="1" t="s">
        <v>74</v>
      </c>
      <c r="F108" s="1" t="s">
        <v>88</v>
      </c>
      <c r="G108" s="1" t="s">
        <v>89</v>
      </c>
      <c r="H108" s="1" t="s">
        <v>90</v>
      </c>
      <c r="I108" s="2">
        <v>46281</v>
      </c>
      <c r="J108" s="1" t="s">
        <v>339</v>
      </c>
      <c r="K108" s="2">
        <v>46281</v>
      </c>
      <c r="L108" s="4">
        <v>487.87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4">
        <v>487.87</v>
      </c>
      <c r="S108" s="1" t="s">
        <v>26</v>
      </c>
      <c r="T108" s="2">
        <v>46281</v>
      </c>
      <c r="U108" s="1" t="s">
        <v>79</v>
      </c>
      <c r="V108" s="1" t="s">
        <v>28</v>
      </c>
      <c r="W108" s="1"/>
      <c r="X108" s="1" t="s">
        <v>29</v>
      </c>
      <c r="Y108" s="1" t="s">
        <v>30</v>
      </c>
      <c r="Z108" s="1" t="s">
        <v>404</v>
      </c>
      <c r="AA108" s="1" t="str">
        <f>IFERROR(VLOOKUP(Tabela2[[#This Row],[Natureza]],Tabela4[[#All],[NATUREZA]:[CATEGORIA]],6,FALSE),"")</f>
        <v>Serviços de Terceiros</v>
      </c>
    </row>
    <row r="109" spans="1:27" ht="15.75" x14ac:dyDescent="0.25">
      <c r="A109">
        <f>IF(Tabela2[[#This Row],[Natureza]]&lt;&gt;"",ROW(Tabela2[[#This Row],[Natureza]])-1)</f>
        <v>108</v>
      </c>
      <c r="B109" s="1" t="s">
        <v>72</v>
      </c>
      <c r="C109" s="1" t="s">
        <v>340</v>
      </c>
      <c r="D109" s="1"/>
      <c r="E109" s="1" t="s">
        <v>74</v>
      </c>
      <c r="F109" s="1" t="s">
        <v>88</v>
      </c>
      <c r="G109" s="1" t="s">
        <v>89</v>
      </c>
      <c r="H109" s="1" t="s">
        <v>90</v>
      </c>
      <c r="I109" s="2">
        <v>46281</v>
      </c>
      <c r="J109" s="1" t="s">
        <v>341</v>
      </c>
      <c r="K109" s="2">
        <v>46281</v>
      </c>
      <c r="L109" s="4">
        <v>742.66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4">
        <v>742.66</v>
      </c>
      <c r="S109" s="1" t="s">
        <v>26</v>
      </c>
      <c r="T109" s="2">
        <v>46281</v>
      </c>
      <c r="U109" s="1" t="s">
        <v>79</v>
      </c>
      <c r="V109" s="1" t="s">
        <v>28</v>
      </c>
      <c r="W109" s="1"/>
      <c r="X109" s="1" t="s">
        <v>29</v>
      </c>
      <c r="Y109" s="1" t="s">
        <v>30</v>
      </c>
      <c r="Z109" s="1" t="s">
        <v>404</v>
      </c>
      <c r="AA109" s="1" t="str">
        <f>IFERROR(VLOOKUP(Tabela2[[#This Row],[Natureza]],Tabela4[[#All],[NATUREZA]:[CATEGORIA]],6,FALSE),"")</f>
        <v>Serviços de Terceiros</v>
      </c>
    </row>
    <row r="110" spans="1:27" ht="15.75" x14ac:dyDescent="0.25">
      <c r="A110">
        <f>IF(Tabela2[[#This Row],[Natureza]]&lt;&gt;"",ROW(Tabela2[[#This Row],[Natureza]])-1)</f>
        <v>109</v>
      </c>
      <c r="B110" s="1" t="s">
        <v>72</v>
      </c>
      <c r="C110" s="1" t="s">
        <v>342</v>
      </c>
      <c r="D110" s="1"/>
      <c r="E110" s="1" t="s">
        <v>74</v>
      </c>
      <c r="F110" s="1" t="s">
        <v>88</v>
      </c>
      <c r="G110" s="1" t="s">
        <v>89</v>
      </c>
      <c r="H110" s="1" t="s">
        <v>90</v>
      </c>
      <c r="I110" s="2">
        <v>46281</v>
      </c>
      <c r="J110" s="1" t="s">
        <v>343</v>
      </c>
      <c r="K110" s="2">
        <v>46281</v>
      </c>
      <c r="L110" s="4">
        <v>116.54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4">
        <v>116.54</v>
      </c>
      <c r="S110" s="1" t="s">
        <v>26</v>
      </c>
      <c r="T110" s="2">
        <v>46281</v>
      </c>
      <c r="U110" s="1" t="s">
        <v>79</v>
      </c>
      <c r="V110" s="1" t="s">
        <v>28</v>
      </c>
      <c r="W110" s="1"/>
      <c r="X110" s="1" t="s">
        <v>29</v>
      </c>
      <c r="Y110" s="1" t="s">
        <v>30</v>
      </c>
      <c r="Z110" s="1" t="s">
        <v>404</v>
      </c>
      <c r="AA110" s="1" t="str">
        <f>IFERROR(VLOOKUP(Tabela2[[#This Row],[Natureza]],Tabela4[[#All],[NATUREZA]:[CATEGORIA]],6,FALSE),"")</f>
        <v>Serviços de Terceiros</v>
      </c>
    </row>
    <row r="111" spans="1:27" ht="15.75" x14ac:dyDescent="0.25">
      <c r="A111">
        <f>IF(Tabela2[[#This Row],[Natureza]]&lt;&gt;"",ROW(Tabela2[[#This Row],[Natureza]])-1)</f>
        <v>110</v>
      </c>
      <c r="B111" s="1" t="s">
        <v>72</v>
      </c>
      <c r="C111" s="1" t="s">
        <v>344</v>
      </c>
      <c r="D111" s="1"/>
      <c r="E111" s="1" t="s">
        <v>74</v>
      </c>
      <c r="F111" s="1" t="s">
        <v>88</v>
      </c>
      <c r="G111" s="1" t="s">
        <v>89</v>
      </c>
      <c r="H111" s="1" t="s">
        <v>90</v>
      </c>
      <c r="I111" s="2">
        <v>46281</v>
      </c>
      <c r="J111" s="1" t="s">
        <v>345</v>
      </c>
      <c r="K111" s="2">
        <v>46281</v>
      </c>
      <c r="L111" s="4">
        <v>487.87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4">
        <v>487.87</v>
      </c>
      <c r="S111" s="1" t="s">
        <v>26</v>
      </c>
      <c r="T111" s="2">
        <v>46281</v>
      </c>
      <c r="U111" s="1" t="s">
        <v>79</v>
      </c>
      <c r="V111" s="1" t="s">
        <v>28</v>
      </c>
      <c r="W111" s="1"/>
      <c r="X111" s="1" t="s">
        <v>29</v>
      </c>
      <c r="Y111" s="1" t="s">
        <v>30</v>
      </c>
      <c r="Z111" s="1" t="s">
        <v>404</v>
      </c>
      <c r="AA111" s="1" t="str">
        <f>IFERROR(VLOOKUP(Tabela2[[#This Row],[Natureza]],Tabela4[[#All],[NATUREZA]:[CATEGORIA]],6,FALSE),"")</f>
        <v>Serviços de Terceiros</v>
      </c>
    </row>
    <row r="112" spans="1:27" ht="15.75" x14ac:dyDescent="0.25">
      <c r="A112">
        <f>IF(Tabela2[[#This Row],[Natureza]]&lt;&gt;"",ROW(Tabela2[[#This Row],[Natureza]])-1)</f>
        <v>111</v>
      </c>
      <c r="B112" s="1" t="s">
        <v>72</v>
      </c>
      <c r="C112" s="1" t="s">
        <v>346</v>
      </c>
      <c r="D112" s="1"/>
      <c r="E112" s="1" t="s">
        <v>74</v>
      </c>
      <c r="F112" s="1" t="s">
        <v>88</v>
      </c>
      <c r="G112" s="1" t="s">
        <v>89</v>
      </c>
      <c r="H112" s="1" t="s">
        <v>90</v>
      </c>
      <c r="I112" s="2">
        <v>46281</v>
      </c>
      <c r="J112" s="1" t="s">
        <v>347</v>
      </c>
      <c r="K112" s="2">
        <v>46281</v>
      </c>
      <c r="L112" s="4">
        <v>116.54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4">
        <v>116.54</v>
      </c>
      <c r="S112" s="1" t="s">
        <v>26</v>
      </c>
      <c r="T112" s="2">
        <v>46281</v>
      </c>
      <c r="U112" s="1" t="s">
        <v>79</v>
      </c>
      <c r="V112" s="1" t="s">
        <v>28</v>
      </c>
      <c r="W112" s="1"/>
      <c r="X112" s="1" t="s">
        <v>29</v>
      </c>
      <c r="Y112" s="1" t="s">
        <v>30</v>
      </c>
      <c r="Z112" s="1" t="s">
        <v>404</v>
      </c>
      <c r="AA112" s="1" t="str">
        <f>IFERROR(VLOOKUP(Tabela2[[#This Row],[Natureza]],Tabela4[[#All],[NATUREZA]:[CATEGORIA]],6,FALSE),"")</f>
        <v>Serviços de Terceiros</v>
      </c>
    </row>
    <row r="113" spans="1:27" ht="15.75" x14ac:dyDescent="0.25">
      <c r="A113">
        <f>IF(Tabela2[[#This Row],[Natureza]]&lt;&gt;"",ROW(Tabela2[[#This Row],[Natureza]])-1)</f>
        <v>112</v>
      </c>
      <c r="B113" s="1" t="s">
        <v>72</v>
      </c>
      <c r="C113" s="1" t="s">
        <v>348</v>
      </c>
      <c r="D113" s="1"/>
      <c r="E113" s="1" t="s">
        <v>74</v>
      </c>
      <c r="F113" s="1" t="s">
        <v>349</v>
      </c>
      <c r="G113" s="1" t="s">
        <v>350</v>
      </c>
      <c r="H113" s="1" t="s">
        <v>136</v>
      </c>
      <c r="I113" s="2">
        <v>46281</v>
      </c>
      <c r="J113" s="1" t="s">
        <v>351</v>
      </c>
      <c r="K113" s="2">
        <v>46281</v>
      </c>
      <c r="L113" s="4">
        <v>1196.3399999999999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4">
        <v>1196.3399999999999</v>
      </c>
      <c r="S113" s="1" t="s">
        <v>26</v>
      </c>
      <c r="T113" s="2">
        <v>46281</v>
      </c>
      <c r="U113" s="1" t="s">
        <v>79</v>
      </c>
      <c r="V113" s="1" t="s">
        <v>28</v>
      </c>
      <c r="W113" s="1"/>
      <c r="X113" s="1" t="s">
        <v>29</v>
      </c>
      <c r="Y113" s="1" t="s">
        <v>30</v>
      </c>
      <c r="Z113" s="1" t="s">
        <v>404</v>
      </c>
      <c r="AA113" s="1" t="str">
        <f>IFERROR(VLOOKUP(Tabela2[[#This Row],[Natureza]],Tabela4[[#All],[NATUREZA]:[CATEGORIA]],6,FALSE),"")</f>
        <v>Transporte/Logística</v>
      </c>
    </row>
    <row r="114" spans="1:27" ht="15.75" x14ac:dyDescent="0.25">
      <c r="A114">
        <f>IF(Tabela2[[#This Row],[Natureza]]&lt;&gt;"",ROW(Tabela2[[#This Row],[Natureza]])-1)</f>
        <v>113</v>
      </c>
      <c r="B114" s="1" t="s">
        <v>72</v>
      </c>
      <c r="C114" s="1" t="s">
        <v>352</v>
      </c>
      <c r="D114" s="1"/>
      <c r="E114" s="1" t="s">
        <v>74</v>
      </c>
      <c r="F114" s="1" t="s">
        <v>349</v>
      </c>
      <c r="G114" s="1" t="s">
        <v>350</v>
      </c>
      <c r="H114" s="1" t="s">
        <v>136</v>
      </c>
      <c r="I114" s="2">
        <v>46281</v>
      </c>
      <c r="J114" s="1" t="s">
        <v>353</v>
      </c>
      <c r="K114" s="2">
        <v>46281</v>
      </c>
      <c r="L114" s="4">
        <v>1110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4">
        <v>1110</v>
      </c>
      <c r="S114" s="1" t="s">
        <v>26</v>
      </c>
      <c r="T114" s="2">
        <v>46281</v>
      </c>
      <c r="U114" s="1" t="s">
        <v>79</v>
      </c>
      <c r="V114" s="1" t="s">
        <v>28</v>
      </c>
      <c r="W114" s="1"/>
      <c r="X114" s="1" t="s">
        <v>29</v>
      </c>
      <c r="Y114" s="1" t="s">
        <v>30</v>
      </c>
      <c r="Z114" s="1" t="s">
        <v>404</v>
      </c>
      <c r="AA114" s="1" t="str">
        <f>IFERROR(VLOOKUP(Tabela2[[#This Row],[Natureza]],Tabela4[[#All],[NATUREZA]:[CATEGORIA]],6,FALSE),"")</f>
        <v>Transporte/Logística</v>
      </c>
    </row>
    <row r="115" spans="1:27" ht="15.75" x14ac:dyDescent="0.25">
      <c r="A115">
        <f>IF(Tabela2[[#This Row],[Natureza]]&lt;&gt;"",ROW(Tabela2[[#This Row],[Natureza]])-1)</f>
        <v>114</v>
      </c>
      <c r="B115" s="1" t="s">
        <v>72</v>
      </c>
      <c r="C115" s="1" t="s">
        <v>354</v>
      </c>
      <c r="D115" s="1"/>
      <c r="E115" s="1" t="s">
        <v>74</v>
      </c>
      <c r="F115" s="1" t="s">
        <v>172</v>
      </c>
      <c r="G115" s="1" t="s">
        <v>173</v>
      </c>
      <c r="H115" s="1" t="s">
        <v>184</v>
      </c>
      <c r="I115" s="2">
        <v>46281</v>
      </c>
      <c r="J115" s="1" t="s">
        <v>355</v>
      </c>
      <c r="K115" s="2">
        <v>46281</v>
      </c>
      <c r="L115" s="4">
        <v>241.5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4">
        <v>241.5</v>
      </c>
      <c r="S115" s="1" t="s">
        <v>26</v>
      </c>
      <c r="T115" s="2">
        <v>46281</v>
      </c>
      <c r="U115" s="1" t="s">
        <v>79</v>
      </c>
      <c r="V115" s="1" t="s">
        <v>28</v>
      </c>
      <c r="W115" s="1"/>
      <c r="X115" s="1" t="s">
        <v>29</v>
      </c>
      <c r="Y115" s="1" t="s">
        <v>30</v>
      </c>
      <c r="Z115" s="1" t="s">
        <v>404</v>
      </c>
      <c r="AA115" s="1" t="str">
        <f>IFERROR(VLOOKUP(Tabela2[[#This Row],[Natureza]],Tabela4[[#All],[NATUREZA]:[CATEGORIA]],6,FALSE),"")</f>
        <v>Viagens/Deslocamento</v>
      </c>
    </row>
    <row r="116" spans="1:27" ht="15.75" x14ac:dyDescent="0.25">
      <c r="A116">
        <f>IF(Tabela2[[#This Row],[Natureza]]&lt;&gt;"",ROW(Tabela2[[#This Row],[Natureza]])-1)</f>
        <v>115</v>
      </c>
      <c r="B116" s="1" t="s">
        <v>72</v>
      </c>
      <c r="C116" s="1" t="s">
        <v>356</v>
      </c>
      <c r="D116" s="1"/>
      <c r="E116" s="1" t="s">
        <v>74</v>
      </c>
      <c r="F116" s="1" t="s">
        <v>172</v>
      </c>
      <c r="G116" s="1" t="s">
        <v>173</v>
      </c>
      <c r="H116" s="1" t="s">
        <v>184</v>
      </c>
      <c r="I116" s="2">
        <v>46281</v>
      </c>
      <c r="J116" s="1" t="s">
        <v>357</v>
      </c>
      <c r="K116" s="2">
        <v>46281</v>
      </c>
      <c r="L116" s="4">
        <v>241.5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4">
        <v>241.5</v>
      </c>
      <c r="S116" s="1" t="s">
        <v>26</v>
      </c>
      <c r="T116" s="2">
        <v>46281</v>
      </c>
      <c r="U116" s="1" t="s">
        <v>79</v>
      </c>
      <c r="V116" s="1" t="s">
        <v>28</v>
      </c>
      <c r="W116" s="1"/>
      <c r="X116" s="1" t="s">
        <v>29</v>
      </c>
      <c r="Y116" s="1" t="s">
        <v>30</v>
      </c>
      <c r="Z116" s="1" t="s">
        <v>404</v>
      </c>
      <c r="AA116" s="1" t="str">
        <f>IFERROR(VLOOKUP(Tabela2[[#This Row],[Natureza]],Tabela4[[#All],[NATUREZA]:[CATEGORIA]],6,FALSE),"")</f>
        <v>Viagens/Deslocamento</v>
      </c>
    </row>
    <row r="117" spans="1:27" ht="15.75" x14ac:dyDescent="0.25">
      <c r="A117">
        <f>IF(Tabela2[[#This Row],[Natureza]]&lt;&gt;"",ROW(Tabela2[[#This Row],[Natureza]])-1)</f>
        <v>116</v>
      </c>
      <c r="B117" s="1" t="s">
        <v>264</v>
      </c>
      <c r="C117" s="1" t="s">
        <v>358</v>
      </c>
      <c r="D117" s="1"/>
      <c r="E117" s="1" t="s">
        <v>74</v>
      </c>
      <c r="F117" s="1" t="s">
        <v>359</v>
      </c>
      <c r="G117" s="1" t="s">
        <v>360</v>
      </c>
      <c r="H117" s="1" t="s">
        <v>254</v>
      </c>
      <c r="I117" s="2">
        <v>46281</v>
      </c>
      <c r="J117" s="1" t="s">
        <v>361</v>
      </c>
      <c r="K117" s="2">
        <v>46281</v>
      </c>
      <c r="L117" s="4">
        <v>2220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4">
        <v>2220</v>
      </c>
      <c r="S117" s="1" t="s">
        <v>26</v>
      </c>
      <c r="T117" s="2">
        <v>46281</v>
      </c>
      <c r="U117" s="1" t="s">
        <v>79</v>
      </c>
      <c r="V117" s="1" t="s">
        <v>28</v>
      </c>
      <c r="W117" s="1"/>
      <c r="X117" s="1" t="s">
        <v>29</v>
      </c>
      <c r="Y117" s="1" t="s">
        <v>30</v>
      </c>
      <c r="Z117" s="1" t="s">
        <v>404</v>
      </c>
      <c r="AA117" s="1" t="str">
        <f>IFERROR(VLOOKUP(Tabela2[[#This Row],[Natureza]],Tabela4[[#All],[NATUREZA]:[CATEGORIA]],6,FALSE),"")</f>
        <v>Materiais/Peças/Ferramentas</v>
      </c>
    </row>
    <row r="118" spans="1:27" ht="15.75" x14ac:dyDescent="0.25">
      <c r="A118">
        <f>IF(Tabela2[[#This Row],[Natureza]]&lt;&gt;"",ROW(Tabela2[[#This Row],[Natureza]])-1)</f>
        <v>117</v>
      </c>
      <c r="B118" s="1" t="s">
        <v>204</v>
      </c>
      <c r="C118" s="1" t="s">
        <v>362</v>
      </c>
      <c r="D118" s="1"/>
      <c r="E118" s="1" t="s">
        <v>74</v>
      </c>
      <c r="F118" s="1" t="s">
        <v>270</v>
      </c>
      <c r="G118" s="1" t="s">
        <v>363</v>
      </c>
      <c r="H118" s="1" t="s">
        <v>272</v>
      </c>
      <c r="I118" s="2">
        <v>46281</v>
      </c>
      <c r="J118" s="1" t="s">
        <v>364</v>
      </c>
      <c r="K118" s="2">
        <v>46281</v>
      </c>
      <c r="L118" s="4">
        <v>977.5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4">
        <v>977.5</v>
      </c>
      <c r="S118" s="1" t="s">
        <v>26</v>
      </c>
      <c r="T118" s="2">
        <v>46281</v>
      </c>
      <c r="U118" s="1" t="s">
        <v>79</v>
      </c>
      <c r="V118" s="1" t="s">
        <v>28</v>
      </c>
      <c r="W118" s="1"/>
      <c r="X118" s="1" t="s">
        <v>29</v>
      </c>
      <c r="Y118" s="1" t="s">
        <v>30</v>
      </c>
      <c r="Z118" s="1" t="s">
        <v>404</v>
      </c>
      <c r="AA118" s="1" t="str">
        <f>IFERROR(VLOOKUP(Tabela2[[#This Row],[Natureza]],Tabela4[[#All],[NATUREZA]:[CATEGORIA]],6,FALSE),"")</f>
        <v>Equipamentos/Informática</v>
      </c>
    </row>
    <row r="119" spans="1:27" ht="15.75" x14ac:dyDescent="0.25">
      <c r="A119">
        <f>IF(Tabela2[[#This Row],[Natureza]]&lt;&gt;"",ROW(Tabela2[[#This Row],[Natureza]])-1)</f>
        <v>118</v>
      </c>
      <c r="B119" s="1" t="s">
        <v>204</v>
      </c>
      <c r="C119" s="1" t="s">
        <v>365</v>
      </c>
      <c r="D119" s="1"/>
      <c r="E119" s="1" t="s">
        <v>74</v>
      </c>
      <c r="F119" s="1" t="s">
        <v>252</v>
      </c>
      <c r="G119" s="1" t="s">
        <v>253</v>
      </c>
      <c r="H119" s="1" t="s">
        <v>254</v>
      </c>
      <c r="I119" s="2">
        <v>46281</v>
      </c>
      <c r="J119" s="1" t="s">
        <v>366</v>
      </c>
      <c r="K119" s="2">
        <v>46281</v>
      </c>
      <c r="L119" s="4">
        <v>488.1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4">
        <v>488.1</v>
      </c>
      <c r="S119" s="1" t="s">
        <v>26</v>
      </c>
      <c r="T119" s="2">
        <v>46281</v>
      </c>
      <c r="U119" s="1" t="s">
        <v>79</v>
      </c>
      <c r="V119" s="1" t="s">
        <v>28</v>
      </c>
      <c r="W119" s="1"/>
      <c r="X119" s="1" t="s">
        <v>29</v>
      </c>
      <c r="Y119" s="1" t="s">
        <v>30</v>
      </c>
      <c r="Z119" s="1" t="s">
        <v>404</v>
      </c>
      <c r="AA119" s="1" t="str">
        <f>IFERROR(VLOOKUP(Tabela2[[#This Row],[Natureza]],Tabela4[[#All],[NATUREZA]:[CATEGORIA]],6,FALSE),"")</f>
        <v>Materiais/Peças/Ferramentas</v>
      </c>
    </row>
    <row r="120" spans="1:27" ht="15.75" x14ac:dyDescent="0.25">
      <c r="A120">
        <f>IF(Tabela2[[#This Row],[Natureza]]&lt;&gt;"",ROW(Tabela2[[#This Row],[Natureza]])-1)</f>
        <v>119</v>
      </c>
      <c r="B120" s="1" t="s">
        <v>204</v>
      </c>
      <c r="C120" s="1" t="s">
        <v>367</v>
      </c>
      <c r="D120" s="1"/>
      <c r="E120" s="1" t="s">
        <v>74</v>
      </c>
      <c r="F120" s="1" t="s">
        <v>252</v>
      </c>
      <c r="G120" s="1" t="s">
        <v>253</v>
      </c>
      <c r="H120" s="1" t="s">
        <v>307</v>
      </c>
      <c r="I120" s="2">
        <v>46281</v>
      </c>
      <c r="J120" s="1" t="s">
        <v>214</v>
      </c>
      <c r="K120" s="2">
        <v>46281</v>
      </c>
      <c r="L120" s="4">
        <v>386.13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4">
        <v>386.13</v>
      </c>
      <c r="S120" s="1" t="s">
        <v>26</v>
      </c>
      <c r="T120" s="2">
        <v>46281</v>
      </c>
      <c r="U120" s="1" t="s">
        <v>79</v>
      </c>
      <c r="V120" s="1" t="s">
        <v>28</v>
      </c>
      <c r="W120" s="1"/>
      <c r="X120" s="1" t="s">
        <v>29</v>
      </c>
      <c r="Y120" s="1" t="s">
        <v>30</v>
      </c>
      <c r="Z120" s="1" t="s">
        <v>404</v>
      </c>
      <c r="AA120" s="1" t="str">
        <f>IFERROR(VLOOKUP(Tabela2[[#This Row],[Natureza]],Tabela4[[#All],[NATUREZA]:[CATEGORIA]],6,FALSE),"")</f>
        <v>Materiais/Peças/Ferramentas</v>
      </c>
    </row>
    <row r="121" spans="1:27" ht="15.75" x14ac:dyDescent="0.25">
      <c r="A121">
        <f>IF(Tabela2[[#This Row],[Natureza]]&lt;&gt;"",ROW(Tabela2[[#This Row],[Natureza]])-1)</f>
        <v>120</v>
      </c>
      <c r="B121" s="1" t="s">
        <v>204</v>
      </c>
      <c r="C121" s="1" t="s">
        <v>368</v>
      </c>
      <c r="D121" s="1" t="s">
        <v>81</v>
      </c>
      <c r="E121" s="1" t="s">
        <v>74</v>
      </c>
      <c r="F121" s="1" t="s">
        <v>252</v>
      </c>
      <c r="G121" s="1" t="s">
        <v>253</v>
      </c>
      <c r="H121" s="1" t="s">
        <v>305</v>
      </c>
      <c r="I121" s="2">
        <v>46281</v>
      </c>
      <c r="J121" s="1" t="s">
        <v>214</v>
      </c>
      <c r="K121" s="2">
        <v>46281</v>
      </c>
      <c r="L121" s="4">
        <v>4206.8500000000004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4">
        <v>4206.8500000000004</v>
      </c>
      <c r="S121" s="1" t="s">
        <v>26</v>
      </c>
      <c r="T121" s="2">
        <v>46281</v>
      </c>
      <c r="U121" s="1" t="s">
        <v>79</v>
      </c>
      <c r="V121" s="1" t="s">
        <v>28</v>
      </c>
      <c r="W121" s="1"/>
      <c r="X121" s="1" t="s">
        <v>29</v>
      </c>
      <c r="Y121" s="1" t="s">
        <v>30</v>
      </c>
      <c r="Z121" s="1" t="s">
        <v>404</v>
      </c>
      <c r="AA121" s="1" t="str">
        <f>IFERROR(VLOOKUP(Tabela2[[#This Row],[Natureza]],Tabela4[[#All],[NATUREZA]:[CATEGORIA]],6,FALSE),"")</f>
        <v>Materiais/Peças/Ferramentas</v>
      </c>
    </row>
    <row r="122" spans="1:27" ht="15.75" x14ac:dyDescent="0.25">
      <c r="A122">
        <f>IF(Tabela2[[#This Row],[Natureza]]&lt;&gt;"",ROW(Tabela2[[#This Row],[Natureza]])-1)</f>
        <v>121</v>
      </c>
      <c r="B122" s="1" t="s">
        <v>369</v>
      </c>
      <c r="C122" s="1" t="s">
        <v>370</v>
      </c>
      <c r="D122" s="1"/>
      <c r="E122" s="1" t="s">
        <v>369</v>
      </c>
      <c r="F122" s="1" t="s">
        <v>371</v>
      </c>
      <c r="G122" s="1" t="s">
        <v>372</v>
      </c>
      <c r="H122" s="1" t="s">
        <v>373</v>
      </c>
      <c r="I122" s="2">
        <v>46281</v>
      </c>
      <c r="J122" s="1" t="s">
        <v>374</v>
      </c>
      <c r="K122" s="2">
        <v>46281</v>
      </c>
      <c r="L122" s="4">
        <v>5344.86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4">
        <v>5344.86</v>
      </c>
      <c r="S122" s="1" t="s">
        <v>26</v>
      </c>
      <c r="T122" s="2">
        <v>46281</v>
      </c>
      <c r="U122" s="1" t="s">
        <v>79</v>
      </c>
      <c r="V122" s="1" t="s">
        <v>28</v>
      </c>
      <c r="W122" s="1"/>
      <c r="X122" s="1" t="s">
        <v>29</v>
      </c>
      <c r="Y122" s="1" t="s">
        <v>30</v>
      </c>
      <c r="Z122" s="1" t="s">
        <v>404</v>
      </c>
      <c r="AA122" s="1" t="str">
        <f>IFERROR(VLOOKUP(Tabela2[[#This Row],[Natureza]],Tabela4[[#All],[NATUREZA]:[CATEGORIA]],6,FALSE),"")</f>
        <v>Folha e Benefícios</v>
      </c>
    </row>
    <row r="123" spans="1:27" ht="15.75" x14ac:dyDescent="0.25">
      <c r="A123">
        <f>IF(Tabela2[[#This Row],[Natureza]]&lt;&gt;"",ROW(Tabela2[[#This Row],[Natureza]])-1)</f>
        <v>122</v>
      </c>
      <c r="B123" s="1" t="s">
        <v>375</v>
      </c>
      <c r="C123" s="1" t="s">
        <v>376</v>
      </c>
      <c r="D123" s="1"/>
      <c r="E123" s="1" t="s">
        <v>223</v>
      </c>
      <c r="F123" s="1" t="s">
        <v>377</v>
      </c>
      <c r="G123" s="1" t="s">
        <v>378</v>
      </c>
      <c r="H123" s="1" t="s">
        <v>373</v>
      </c>
      <c r="I123" s="2">
        <v>46281</v>
      </c>
      <c r="J123" s="1" t="s">
        <v>379</v>
      </c>
      <c r="K123" s="2">
        <v>46281</v>
      </c>
      <c r="L123" s="4">
        <v>24788.959999999999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4">
        <v>24788.959999999999</v>
      </c>
      <c r="S123" s="1" t="s">
        <v>26</v>
      </c>
      <c r="T123" s="2">
        <v>46281</v>
      </c>
      <c r="U123" s="1" t="s">
        <v>79</v>
      </c>
      <c r="V123" s="1" t="s">
        <v>28</v>
      </c>
      <c r="W123" s="1"/>
      <c r="X123" s="1" t="s">
        <v>29</v>
      </c>
      <c r="Y123" s="1" t="s">
        <v>30</v>
      </c>
      <c r="Z123" s="1" t="s">
        <v>404</v>
      </c>
      <c r="AA123" s="1" t="str">
        <f>IFERROR(VLOOKUP(Tabela2[[#This Row],[Natureza]],Tabela4[[#All],[NATUREZA]:[CATEGORIA]],6,FALSE),"")</f>
        <v>Folha e Benefícios</v>
      </c>
    </row>
    <row r="124" spans="1:27" ht="15.75" x14ac:dyDescent="0.25">
      <c r="A124">
        <f>IF(Tabela2[[#This Row],[Natureza]]&lt;&gt;"",ROW(Tabela2[[#This Row],[Natureza]])-1)</f>
        <v>123</v>
      </c>
      <c r="B124" s="1" t="s">
        <v>380</v>
      </c>
      <c r="C124" s="1" t="s">
        <v>381</v>
      </c>
      <c r="D124" s="1"/>
      <c r="E124" s="1" t="s">
        <v>380</v>
      </c>
      <c r="F124" s="1" t="s">
        <v>382</v>
      </c>
      <c r="G124" s="1" t="s">
        <v>383</v>
      </c>
      <c r="H124" s="1" t="s">
        <v>373</v>
      </c>
      <c r="I124" s="2">
        <v>46281</v>
      </c>
      <c r="J124" s="1" t="s">
        <v>384</v>
      </c>
      <c r="K124" s="2">
        <v>46281</v>
      </c>
      <c r="L124" s="4">
        <v>5768.86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4">
        <v>5768.86</v>
      </c>
      <c r="S124" s="1" t="s">
        <v>26</v>
      </c>
      <c r="T124" s="2">
        <v>46281</v>
      </c>
      <c r="U124" s="1" t="s">
        <v>79</v>
      </c>
      <c r="V124" s="1" t="s">
        <v>28</v>
      </c>
      <c r="W124" s="1"/>
      <c r="X124" s="1" t="s">
        <v>29</v>
      </c>
      <c r="Y124" s="1" t="s">
        <v>30</v>
      </c>
      <c r="Z124" s="1" t="s">
        <v>404</v>
      </c>
      <c r="AA124" s="1" t="str">
        <f>IFERROR(VLOOKUP(Tabela2[[#This Row],[Natureza]],Tabela4[[#All],[NATUREZA]:[CATEGORIA]],6,FALSE),"")</f>
        <v>Folha e Benefícios</v>
      </c>
    </row>
    <row r="125" spans="1:27" ht="15.75" x14ac:dyDescent="0.25">
      <c r="A125">
        <f>IF(Tabela2[[#This Row],[Natureza]]&lt;&gt;"",ROW(Tabela2[[#This Row],[Natureza]])-1)</f>
        <v>124</v>
      </c>
      <c r="B125" s="1" t="s">
        <v>229</v>
      </c>
      <c r="C125" s="1" t="s">
        <v>385</v>
      </c>
      <c r="D125" s="1" t="s">
        <v>81</v>
      </c>
      <c r="E125" s="1" t="s">
        <v>231</v>
      </c>
      <c r="F125" s="1" t="s">
        <v>386</v>
      </c>
      <c r="G125" s="1" t="s">
        <v>387</v>
      </c>
      <c r="H125" s="1" t="s">
        <v>388</v>
      </c>
      <c r="I125" s="2">
        <v>46281</v>
      </c>
      <c r="J125" s="1" t="s">
        <v>389</v>
      </c>
      <c r="K125" s="2">
        <v>46281</v>
      </c>
      <c r="L125" s="4">
        <v>1793.6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4">
        <v>1793.6</v>
      </c>
      <c r="S125" s="1" t="s">
        <v>26</v>
      </c>
      <c r="T125" s="2">
        <v>46281</v>
      </c>
      <c r="U125" s="1" t="s">
        <v>79</v>
      </c>
      <c r="V125" s="1" t="s">
        <v>28</v>
      </c>
      <c r="W125" s="1"/>
      <c r="X125" s="1" t="s">
        <v>29</v>
      </c>
      <c r="Y125" s="1" t="s">
        <v>30</v>
      </c>
      <c r="Z125" s="1" t="s">
        <v>404</v>
      </c>
      <c r="AA125" s="1" t="str">
        <f>IFERROR(VLOOKUP(Tabela2[[#This Row],[Natureza]],Tabela4[[#All],[NATUREZA]:[CATEGORIA]],6,FALSE),"")</f>
        <v>Impostos/Tributos e Taxas</v>
      </c>
    </row>
    <row r="126" spans="1:27" ht="15.75" x14ac:dyDescent="0.25">
      <c r="A126">
        <f>IF(Tabela2[[#This Row],[Natureza]]&lt;&gt;"",ROW(Tabela2[[#This Row],[Natureza]])-1)</f>
        <v>125</v>
      </c>
      <c r="B126" s="1" t="s">
        <v>229</v>
      </c>
      <c r="C126" s="1" t="s">
        <v>390</v>
      </c>
      <c r="D126" s="1" t="s">
        <v>81</v>
      </c>
      <c r="E126" s="1" t="s">
        <v>231</v>
      </c>
      <c r="F126" s="1" t="s">
        <v>386</v>
      </c>
      <c r="G126" s="1" t="s">
        <v>387</v>
      </c>
      <c r="H126" s="1" t="s">
        <v>391</v>
      </c>
      <c r="I126" s="2">
        <v>46281</v>
      </c>
      <c r="J126" s="1" t="s">
        <v>392</v>
      </c>
      <c r="K126" s="2">
        <v>46281</v>
      </c>
      <c r="L126" s="4">
        <v>5560.18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4">
        <v>5560.18</v>
      </c>
      <c r="S126" s="1" t="s">
        <v>26</v>
      </c>
      <c r="T126" s="2">
        <v>46281</v>
      </c>
      <c r="U126" s="1" t="s">
        <v>79</v>
      </c>
      <c r="V126" s="1" t="s">
        <v>28</v>
      </c>
      <c r="W126" s="1"/>
      <c r="X126" s="1" t="s">
        <v>29</v>
      </c>
      <c r="Y126" s="1" t="s">
        <v>30</v>
      </c>
      <c r="Z126" s="1" t="s">
        <v>404</v>
      </c>
      <c r="AA126" s="1" t="str">
        <f>IFERROR(VLOOKUP(Tabela2[[#This Row],[Natureza]],Tabela4[[#All],[NATUREZA]:[CATEGORIA]],6,FALSE),"")</f>
        <v>Impostos/Tributos e Taxas</v>
      </c>
    </row>
    <row r="127" spans="1:27" ht="15.75" x14ac:dyDescent="0.25">
      <c r="A127">
        <f>IF(Tabela2[[#This Row],[Natureza]]&lt;&gt;"",ROW(Tabela2[[#This Row],[Natureza]])-1)</f>
        <v>126</v>
      </c>
      <c r="B127" s="1"/>
      <c r="C127" s="1"/>
      <c r="D127" s="1"/>
      <c r="E127" s="1"/>
      <c r="F127" s="1"/>
      <c r="G127" s="1" t="s">
        <v>487</v>
      </c>
      <c r="H127" s="8" t="s">
        <v>102</v>
      </c>
      <c r="I127" s="2"/>
      <c r="J127" s="1" t="s">
        <v>393</v>
      </c>
      <c r="K127" s="2">
        <v>46281</v>
      </c>
      <c r="L127" s="4">
        <v>10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4">
        <v>10</v>
      </c>
      <c r="S127" s="1" t="s">
        <v>26</v>
      </c>
      <c r="T127" s="2">
        <v>46281</v>
      </c>
      <c r="U127" s="1" t="s">
        <v>27</v>
      </c>
      <c r="V127" s="1" t="s">
        <v>28</v>
      </c>
      <c r="W127" s="1"/>
      <c r="X127" s="1" t="s">
        <v>29</v>
      </c>
      <c r="Y127" s="1" t="s">
        <v>30</v>
      </c>
      <c r="Z127" s="1" t="s">
        <v>404</v>
      </c>
      <c r="AA127" s="1" t="str">
        <f>IFERROR(VLOOKUP(Tabela2[[#This Row],[Natureza]],Tabela4[[#All],[NATUREZA]:[CATEGORIA]],6,FALSE),"")</f>
        <v>Reembolso/Prestação de Contas</v>
      </c>
    </row>
    <row r="128" spans="1:27" ht="15.75" x14ac:dyDescent="0.25">
      <c r="A128">
        <f>IF(Tabela2[[#This Row],[Natureza]]&lt;&gt;"",ROW(Tabela2[[#This Row],[Natureza]])-1)</f>
        <v>127</v>
      </c>
      <c r="B128" s="1" t="s">
        <v>34</v>
      </c>
      <c r="C128" s="1" t="s">
        <v>394</v>
      </c>
      <c r="D128" s="1"/>
      <c r="E128" s="1" t="s">
        <v>56</v>
      </c>
      <c r="F128" s="1" t="s">
        <v>395</v>
      </c>
      <c r="G128" s="1" t="s">
        <v>67</v>
      </c>
      <c r="H128" s="1" t="s">
        <v>102</v>
      </c>
      <c r="I128" s="2">
        <v>46281</v>
      </c>
      <c r="J128" s="1" t="s">
        <v>396</v>
      </c>
      <c r="K128" s="2">
        <v>46281</v>
      </c>
      <c r="L128" s="4">
        <v>5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4">
        <v>5</v>
      </c>
      <c r="S128" s="1" t="s">
        <v>26</v>
      </c>
      <c r="T128" s="2">
        <v>46281</v>
      </c>
      <c r="U128" s="1" t="s">
        <v>27</v>
      </c>
      <c r="V128" s="1" t="s">
        <v>28</v>
      </c>
      <c r="W128" s="1" t="s">
        <v>52</v>
      </c>
      <c r="X128" s="1" t="s">
        <v>29</v>
      </c>
      <c r="Y128" s="1" t="s">
        <v>30</v>
      </c>
      <c r="Z128" s="1" t="s">
        <v>404</v>
      </c>
      <c r="AA128" s="1" t="str">
        <f>IFERROR(VLOOKUP(Tabela2[[#This Row],[Natureza]],Tabela4[[#All],[NATUREZA]:[CATEGORIA]],6,FALSE),"")</f>
        <v>Reembolso/Prestação de Contas</v>
      </c>
    </row>
    <row r="129" spans="1:27" ht="15.75" x14ac:dyDescent="0.25">
      <c r="A129">
        <f>IF(Tabela2[[#This Row],[Natureza]]&lt;&gt;"",ROW(Tabela2[[#This Row],[Natureza]])-1)</f>
        <v>128</v>
      </c>
      <c r="B129" s="1"/>
      <c r="C129" s="1"/>
      <c r="D129" s="1"/>
      <c r="E129" s="1"/>
      <c r="F129" s="1"/>
      <c r="G129" s="1"/>
      <c r="H129" s="1" t="s">
        <v>41</v>
      </c>
      <c r="I129" s="2"/>
      <c r="J129" s="1" t="s">
        <v>397</v>
      </c>
      <c r="K129" s="2">
        <v>46281</v>
      </c>
      <c r="L129" s="4">
        <v>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4">
        <v>5</v>
      </c>
      <c r="S129" s="1" t="s">
        <v>26</v>
      </c>
      <c r="T129" s="2">
        <v>46281</v>
      </c>
      <c r="U129" s="1" t="s">
        <v>27</v>
      </c>
      <c r="V129" s="1" t="s">
        <v>28</v>
      </c>
      <c r="W129" s="1"/>
      <c r="X129" s="1" t="s">
        <v>29</v>
      </c>
      <c r="Y129" s="1" t="s">
        <v>30</v>
      </c>
      <c r="Z129" s="1" t="s">
        <v>404</v>
      </c>
      <c r="AA129" s="1" t="str">
        <f>IFERROR(VLOOKUP(Tabela2[[#This Row],[Natureza]],Tabela4[[#All],[NATUREZA]:[CATEGORIA]],6,FALSE),"")</f>
        <v>Transferência de Saída</v>
      </c>
    </row>
    <row r="130" spans="1:27" ht="15.75" x14ac:dyDescent="0.25">
      <c r="B130" s="1"/>
      <c r="C130" s="1"/>
      <c r="D130" s="1"/>
      <c r="E130" s="1"/>
      <c r="F130" s="1"/>
      <c r="G130" s="1"/>
      <c r="H130" s="1"/>
      <c r="I130" s="2"/>
      <c r="J130" s="1"/>
      <c r="K130" s="2"/>
      <c r="L130" s="4"/>
      <c r="M130" s="1"/>
      <c r="N130" s="1"/>
      <c r="O130" s="1"/>
      <c r="P130" s="1"/>
      <c r="Q130" s="1"/>
      <c r="R130" s="4"/>
      <c r="S130" s="1"/>
      <c r="T130" s="2"/>
      <c r="U130" s="1"/>
      <c r="V130" s="1"/>
      <c r="W130" s="1"/>
      <c r="X130" s="1"/>
      <c r="Y130" s="1"/>
    </row>
    <row r="131" spans="1:27" ht="15.75" x14ac:dyDescent="0.25">
      <c r="B131" s="1"/>
      <c r="C131" s="1"/>
      <c r="D131" s="1"/>
      <c r="E131" s="1"/>
      <c r="F131" s="1"/>
      <c r="G131" s="1"/>
      <c r="H131" s="1"/>
      <c r="I131" s="2"/>
      <c r="J131" s="1"/>
      <c r="K131" s="2"/>
      <c r="L131" s="4"/>
      <c r="M131" s="1"/>
      <c r="N131" s="1"/>
      <c r="O131" s="1"/>
      <c r="P131" s="1"/>
      <c r="Q131" s="1"/>
      <c r="R131" s="4"/>
      <c r="S131" s="1"/>
      <c r="T131" s="2"/>
      <c r="U131" s="1"/>
      <c r="V131" s="1"/>
      <c r="W131" s="1"/>
      <c r="X131" s="1"/>
      <c r="Y131" s="1"/>
    </row>
    <row r="132" spans="1:27" ht="15.75" x14ac:dyDescent="0.25">
      <c r="B132" s="1"/>
      <c r="C132" s="1"/>
      <c r="D132" s="1"/>
      <c r="E132" s="1"/>
      <c r="F132" s="1"/>
      <c r="G132" s="1"/>
      <c r="H132" s="1"/>
      <c r="I132" s="2"/>
      <c r="J132" s="1"/>
      <c r="K132" s="2"/>
      <c r="L132" s="4"/>
      <c r="M132" s="1"/>
      <c r="N132" s="1"/>
      <c r="O132" s="1"/>
      <c r="P132" s="1"/>
      <c r="Q132" s="1"/>
      <c r="R132" s="4"/>
      <c r="S132" s="1"/>
      <c r="T132" s="2"/>
      <c r="U132" s="1"/>
      <c r="V132" s="1"/>
      <c r="W132" s="1"/>
      <c r="X132" s="1"/>
      <c r="Y132" s="1"/>
    </row>
    <row r="133" spans="1:27" ht="15.75" x14ac:dyDescent="0.25">
      <c r="B133" s="1"/>
      <c r="C133" s="1"/>
      <c r="D133" s="1"/>
      <c r="E133" s="1"/>
      <c r="F133" s="1"/>
      <c r="G133" s="1"/>
      <c r="H133" s="1"/>
      <c r="I133" s="2"/>
      <c r="J133" s="1"/>
      <c r="K133" s="2"/>
      <c r="L133" s="4"/>
      <c r="M133" s="1"/>
      <c r="N133" s="1"/>
      <c r="O133" s="1"/>
      <c r="P133" s="1"/>
      <c r="Q133" s="1"/>
      <c r="R133" s="4"/>
      <c r="S133" s="1"/>
      <c r="T133" s="2"/>
      <c r="U133" s="1"/>
      <c r="V133" s="1"/>
      <c r="W133" s="1"/>
      <c r="X133" s="1"/>
      <c r="Y133" s="1"/>
    </row>
    <row r="134" spans="1:27" ht="15.75" x14ac:dyDescent="0.25">
      <c r="B134" s="1"/>
      <c r="C134" s="1"/>
      <c r="D134" s="1"/>
      <c r="E134" s="1"/>
      <c r="F134" s="1"/>
      <c r="G134" s="1"/>
      <c r="H134" s="1"/>
      <c r="I134" s="2"/>
      <c r="J134" s="1"/>
      <c r="K134" s="2"/>
      <c r="L134" s="4"/>
      <c r="M134" s="1"/>
      <c r="N134" s="1"/>
      <c r="O134" s="1"/>
      <c r="P134" s="1"/>
      <c r="Q134" s="1"/>
      <c r="R134" s="4"/>
      <c r="S134" s="1"/>
      <c r="T134" s="2"/>
      <c r="U134" s="1"/>
      <c r="V134" s="1"/>
      <c r="W134" s="1"/>
      <c r="X134" s="1"/>
      <c r="Y134" s="1"/>
    </row>
    <row r="135" spans="1:27" ht="15.75" x14ac:dyDescent="0.25">
      <c r="B135" s="1"/>
      <c r="C135" s="1"/>
      <c r="D135" s="1"/>
      <c r="E135" s="1"/>
      <c r="F135" s="1"/>
      <c r="G135" s="1"/>
      <c r="H135" s="1"/>
      <c r="I135" s="2"/>
      <c r="J135" s="1"/>
      <c r="K135" s="2"/>
      <c r="L135" s="4"/>
      <c r="M135" s="1"/>
      <c r="N135" s="1"/>
      <c r="O135" s="1"/>
      <c r="P135" s="1"/>
      <c r="Q135" s="1"/>
      <c r="R135" s="4"/>
      <c r="S135" s="1"/>
      <c r="T135" s="2"/>
      <c r="U135" s="1"/>
      <c r="V135" s="1"/>
      <c r="W135" s="1"/>
      <c r="X135" s="1"/>
      <c r="Y135" s="1"/>
    </row>
    <row r="136" spans="1:27" ht="15.75" x14ac:dyDescent="0.25">
      <c r="B136" s="1"/>
      <c r="C136" s="1"/>
      <c r="D136" s="1"/>
      <c r="E136" s="1"/>
      <c r="F136" s="1"/>
      <c r="G136" s="1"/>
      <c r="H136" s="1"/>
      <c r="I136" s="2"/>
      <c r="J136" s="1"/>
      <c r="K136" s="2"/>
      <c r="L136" s="4"/>
      <c r="M136" s="1"/>
      <c r="N136" s="1"/>
      <c r="O136" s="1"/>
      <c r="P136" s="1"/>
      <c r="Q136" s="1"/>
      <c r="R136" s="4"/>
      <c r="S136" s="1"/>
      <c r="T136" s="2"/>
      <c r="U136" s="1"/>
      <c r="V136" s="1"/>
      <c r="W136" s="1"/>
      <c r="X136" s="1"/>
      <c r="Y136" s="1"/>
    </row>
    <row r="137" spans="1:27" ht="15.75" x14ac:dyDescent="0.25"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4"/>
      <c r="M137" s="1"/>
      <c r="N137" s="1"/>
      <c r="O137" s="1"/>
      <c r="P137" s="1"/>
      <c r="Q137" s="1"/>
      <c r="R137" s="4"/>
      <c r="S137" s="1"/>
      <c r="T137" s="2"/>
      <c r="U137" s="1"/>
      <c r="V137" s="1"/>
      <c r="W137" s="1"/>
      <c r="X137" s="1"/>
      <c r="Y137" s="1"/>
    </row>
    <row r="138" spans="1:27" ht="15.75" x14ac:dyDescent="0.25">
      <c r="B138" s="1"/>
      <c r="C138" s="1"/>
      <c r="D138" s="1"/>
      <c r="E138" s="1"/>
      <c r="F138" s="1"/>
      <c r="G138" s="1"/>
      <c r="H138" s="1"/>
      <c r="I138" s="2"/>
      <c r="J138" s="1"/>
      <c r="K138" s="2"/>
      <c r="L138" s="4"/>
      <c r="M138" s="1"/>
      <c r="N138" s="1"/>
      <c r="O138" s="1"/>
      <c r="P138" s="1"/>
      <c r="Q138" s="1"/>
      <c r="R138" s="4"/>
      <c r="S138" s="1"/>
      <c r="T138" s="2"/>
      <c r="U138" s="1"/>
      <c r="V138" s="1"/>
      <c r="W138" s="1"/>
      <c r="X138" s="1"/>
      <c r="Y138" s="1"/>
    </row>
    <row r="139" spans="1:27" ht="15.75" x14ac:dyDescent="0.25">
      <c r="B139" s="1"/>
      <c r="C139" s="1"/>
      <c r="D139" s="1"/>
      <c r="E139" s="1"/>
      <c r="F139" s="1"/>
      <c r="G139" s="1"/>
      <c r="H139" s="1"/>
      <c r="I139" s="2"/>
      <c r="J139" s="1"/>
      <c r="K139" s="2"/>
      <c r="L139" s="4"/>
      <c r="M139" s="1"/>
      <c r="N139" s="1"/>
      <c r="O139" s="1"/>
      <c r="P139" s="1"/>
      <c r="Q139" s="1"/>
      <c r="R139" s="4"/>
      <c r="S139" s="1"/>
      <c r="T139" s="2"/>
      <c r="U139" s="1"/>
      <c r="V139" s="1"/>
      <c r="W139" s="1"/>
      <c r="X139" s="1"/>
      <c r="Y139" s="1"/>
    </row>
    <row r="140" spans="1:27" ht="15.75" x14ac:dyDescent="0.25">
      <c r="B140" s="1"/>
      <c r="C140" s="1"/>
      <c r="D140" s="1"/>
      <c r="E140" s="1"/>
      <c r="F140" s="1"/>
      <c r="G140" s="1"/>
      <c r="H140" s="1"/>
      <c r="I140" s="2"/>
      <c r="J140" s="1"/>
      <c r="K140" s="2"/>
      <c r="L140" s="4"/>
      <c r="M140" s="1"/>
      <c r="N140" s="1"/>
      <c r="O140" s="1"/>
      <c r="P140" s="1"/>
      <c r="Q140" s="1"/>
      <c r="R140" s="4"/>
      <c r="S140" s="1"/>
      <c r="T140" s="2"/>
      <c r="U140" s="1"/>
      <c r="V140" s="1"/>
      <c r="W140" s="1"/>
      <c r="X140" s="1"/>
      <c r="Y140" s="1"/>
    </row>
    <row r="141" spans="1:27" ht="15.75" x14ac:dyDescent="0.25">
      <c r="R141" s="4"/>
    </row>
    <row r="142" spans="1:27" ht="15.75" x14ac:dyDescent="0.25">
      <c r="R142" s="4"/>
    </row>
    <row r="143" spans="1:27" ht="15.75" x14ac:dyDescent="0.25">
      <c r="R143" s="4"/>
    </row>
    <row r="144" spans="1:27" ht="15.75" x14ac:dyDescent="0.25">
      <c r="R144" s="4"/>
    </row>
    <row r="145" spans="18:18" ht="15.75" x14ac:dyDescent="0.25">
      <c r="R145" s="4"/>
    </row>
    <row r="146" spans="18:18" ht="15.75" x14ac:dyDescent="0.25">
      <c r="R146" s="4"/>
    </row>
    <row r="147" spans="18:18" ht="15.75" x14ac:dyDescent="0.25">
      <c r="R147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C3A4-21C4-45D4-B195-17F032C78E13}">
  <dimension ref="A1:AA47"/>
  <sheetViews>
    <sheetView topLeftCell="C1" workbookViewId="0">
      <selection activeCell="L5" sqref="L5"/>
    </sheetView>
  </sheetViews>
  <sheetFormatPr defaultRowHeight="15" x14ac:dyDescent="0.25"/>
  <cols>
    <col min="2" max="2" width="6" customWidth="1"/>
    <col min="3" max="3" width="11" customWidth="1"/>
    <col min="4" max="4" width="6.5703125" customWidth="1"/>
    <col min="5" max="5" width="6" customWidth="1"/>
    <col min="6" max="6" width="9.85546875" customWidth="1"/>
    <col min="7" max="7" width="19.140625" customWidth="1"/>
    <col min="8" max="8" width="12" customWidth="1"/>
    <col min="9" max="9" width="10.140625" customWidth="1"/>
    <col min="10" max="10" width="37.85546875" bestFit="1" customWidth="1"/>
    <col min="11" max="11" width="12.7109375" bestFit="1" customWidth="1"/>
    <col min="12" max="12" width="17.5703125" bestFit="1" customWidth="1"/>
    <col min="13" max="13" width="12" customWidth="1"/>
    <col min="14" max="14" width="16.28515625" customWidth="1"/>
    <col min="15" max="15" width="13.85546875" customWidth="1"/>
    <col min="16" max="16" width="10.85546875" customWidth="1"/>
    <col min="17" max="17" width="14.85546875" customWidth="1"/>
    <col min="18" max="18" width="18.28515625" customWidth="1"/>
    <col min="19" max="19" width="7.140625" customWidth="1"/>
    <col min="20" max="20" width="12.7109375" bestFit="1" customWidth="1"/>
    <col min="21" max="21" width="6.85546875" customWidth="1"/>
    <col min="22" max="22" width="7.42578125" customWidth="1"/>
    <col min="23" max="23" width="15" customWidth="1"/>
    <col min="24" max="24" width="11.42578125" customWidth="1"/>
    <col min="25" max="25" width="16.140625" customWidth="1"/>
    <col min="26" max="26" width="12.140625" bestFit="1" customWidth="1"/>
  </cols>
  <sheetData>
    <row r="1" spans="1:27" ht="15.75" x14ac:dyDescent="0.25">
      <c r="A1" t="s">
        <v>489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403</v>
      </c>
      <c r="AA1" s="7" t="s">
        <v>430</v>
      </c>
    </row>
    <row r="2" spans="1:27" ht="15.75" hidden="1" x14ac:dyDescent="0.25">
      <c r="A2">
        <f>IF(Tabela3[[#This Row],[Natureza]]&lt;&gt;"",ROW(Tabela3[[#This Row],[Natureza]])-1)</f>
        <v>1</v>
      </c>
      <c r="B2" s="1"/>
      <c r="C2" s="1"/>
      <c r="D2" s="1"/>
      <c r="E2" s="1"/>
      <c r="F2" s="1"/>
      <c r="G2" s="1"/>
      <c r="H2" s="1" t="s">
        <v>24</v>
      </c>
      <c r="I2" s="2"/>
      <c r="J2" s="1" t="s">
        <v>31</v>
      </c>
      <c r="K2" s="2">
        <v>46234</v>
      </c>
      <c r="L2" s="3">
        <v>100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4">
        <v>100</v>
      </c>
      <c r="S2" s="1" t="s">
        <v>26</v>
      </c>
      <c r="T2" s="2">
        <v>46234</v>
      </c>
      <c r="U2" s="1" t="s">
        <v>27</v>
      </c>
      <c r="V2" s="1" t="s">
        <v>28</v>
      </c>
      <c r="W2" s="1"/>
      <c r="X2" s="1" t="s">
        <v>29</v>
      </c>
      <c r="Y2" s="1" t="s">
        <v>32</v>
      </c>
      <c r="Z2" s="1" t="s">
        <v>405</v>
      </c>
      <c r="AA2" s="1" t="str">
        <f>IFERROR(VLOOKUP(Tabela3[[#This Row],[Natureza]],Tabela4[[#All],[NATUREZA]:[CATEGORIA]],6,FALSE),"")</f>
        <v>Transferência de Entrada</v>
      </c>
    </row>
    <row r="3" spans="1:27" ht="15.75" hidden="1" x14ac:dyDescent="0.25">
      <c r="A3">
        <f>IF(Tabela3[[#This Row],[Natureza]]&lt;&gt;"",ROW(Tabela3[[#This Row],[Natureza]])-1)</f>
        <v>2</v>
      </c>
      <c r="B3" s="1"/>
      <c r="C3" s="1"/>
      <c r="D3" s="1"/>
      <c r="E3" s="1"/>
      <c r="F3" s="1"/>
      <c r="G3" s="1"/>
      <c r="H3" s="1" t="s">
        <v>24</v>
      </c>
      <c r="I3" s="2"/>
      <c r="J3" s="1" t="s">
        <v>33</v>
      </c>
      <c r="K3" s="2">
        <v>46234</v>
      </c>
      <c r="L3" s="3">
        <v>100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4">
        <v>100</v>
      </c>
      <c r="S3" s="1" t="s">
        <v>26</v>
      </c>
      <c r="T3" s="2">
        <v>46234</v>
      </c>
      <c r="U3" s="1" t="s">
        <v>27</v>
      </c>
      <c r="V3" s="1" t="s">
        <v>28</v>
      </c>
      <c r="W3" s="1"/>
      <c r="X3" s="1" t="s">
        <v>29</v>
      </c>
      <c r="Y3" s="1" t="s">
        <v>32</v>
      </c>
      <c r="Z3" s="1" t="s">
        <v>405</v>
      </c>
      <c r="AA3" s="1" t="str">
        <f>IFERROR(VLOOKUP(Tabela3[[#This Row],[Natureza]],Tabela4[[#All],[NATUREZA]:[CATEGORIA]],6,FALSE),"")</f>
        <v>Transferência de Entrada</v>
      </c>
    </row>
    <row r="4" spans="1:27" ht="15.75" hidden="1" x14ac:dyDescent="0.25">
      <c r="A4">
        <f>IF(Tabela3[[#This Row],[Natureza]]&lt;&gt;"",ROW(Tabela3[[#This Row],[Natureza]])-1)</f>
        <v>3</v>
      </c>
      <c r="B4" s="1"/>
      <c r="C4" s="1"/>
      <c r="D4" s="1"/>
      <c r="E4" s="1"/>
      <c r="F4" s="1"/>
      <c r="G4" s="1"/>
      <c r="H4" s="1" t="s">
        <v>24</v>
      </c>
      <c r="I4" s="2"/>
      <c r="J4" s="1" t="s">
        <v>42</v>
      </c>
      <c r="K4" s="2">
        <v>46234</v>
      </c>
      <c r="L4" s="3">
        <v>30015094.030000001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4">
        <v>30015094.030000001</v>
      </c>
      <c r="S4" s="1" t="s">
        <v>26</v>
      </c>
      <c r="T4" s="2">
        <v>46234</v>
      </c>
      <c r="U4" s="1" t="s">
        <v>27</v>
      </c>
      <c r="V4" s="1" t="s">
        <v>28</v>
      </c>
      <c r="W4" s="1"/>
      <c r="X4" s="1" t="s">
        <v>29</v>
      </c>
      <c r="Y4" s="1" t="s">
        <v>43</v>
      </c>
      <c r="Z4" s="1" t="s">
        <v>405</v>
      </c>
      <c r="AA4" s="1" t="str">
        <f>IFERROR(VLOOKUP(Tabela3[[#This Row],[Natureza]],Tabela4[[#All],[NATUREZA]:[CATEGORIA]],6,FALSE),"")</f>
        <v>Transferência de Entrada</v>
      </c>
    </row>
    <row r="5" spans="1:27" ht="15.75" x14ac:dyDescent="0.25">
      <c r="A5">
        <f>IF(Tabela3[[#This Row],[Natureza]]&lt;&gt;"",ROW(Tabela3[[#This Row],[Natureza]])-1)</f>
        <v>4</v>
      </c>
      <c r="B5" s="1"/>
      <c r="C5" s="1"/>
      <c r="D5" s="1"/>
      <c r="E5" s="1"/>
      <c r="F5" s="1"/>
      <c r="G5" s="1"/>
      <c r="H5" s="1" t="s">
        <v>24</v>
      </c>
      <c r="I5" s="2"/>
      <c r="J5" s="1" t="s">
        <v>44</v>
      </c>
      <c r="K5" s="2">
        <v>46234</v>
      </c>
      <c r="L5" s="3">
        <v>30015903.199999999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4">
        <v>30015903.199999999</v>
      </c>
      <c r="S5" s="1" t="s">
        <v>26</v>
      </c>
      <c r="T5" s="2">
        <v>46234</v>
      </c>
      <c r="U5" s="1" t="s">
        <v>27</v>
      </c>
      <c r="V5" s="1" t="s">
        <v>28</v>
      </c>
      <c r="W5" s="1"/>
      <c r="X5" s="1" t="s">
        <v>29</v>
      </c>
      <c r="Y5" s="1" t="s">
        <v>45</v>
      </c>
      <c r="Z5" s="1" t="s">
        <v>405</v>
      </c>
      <c r="AA5" s="1" t="str">
        <f>IFERROR(VLOOKUP(Tabela3[[#This Row],[Natureza]],Tabela4[[#All],[NATUREZA]:[CATEGORIA]],6,FALSE),"")</f>
        <v>Transferência de Entrada</v>
      </c>
    </row>
    <row r="6" spans="1:27" ht="15.75" hidden="1" x14ac:dyDescent="0.25">
      <c r="A6">
        <f>IF(Tabela3[[#This Row],[Natureza]]&lt;&gt;"",ROW(Tabela3[[#This Row],[Natureza]])-1)</f>
        <v>5</v>
      </c>
      <c r="B6" s="1"/>
      <c r="C6" s="1"/>
      <c r="D6" s="1"/>
      <c r="E6" s="1"/>
      <c r="F6" s="1"/>
      <c r="G6" s="1"/>
      <c r="H6" s="1" t="s">
        <v>24</v>
      </c>
      <c r="I6" s="2"/>
      <c r="J6" s="1" t="s">
        <v>31</v>
      </c>
      <c r="K6" s="2">
        <v>46244</v>
      </c>
      <c r="L6" s="3">
        <v>1855.27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4">
        <v>1855.27</v>
      </c>
      <c r="S6" s="1" t="s">
        <v>26</v>
      </c>
      <c r="T6" s="2">
        <v>46244</v>
      </c>
      <c r="U6" s="1" t="s">
        <v>27</v>
      </c>
      <c r="V6" s="1" t="s">
        <v>28</v>
      </c>
      <c r="W6" s="1"/>
      <c r="X6" s="1" t="s">
        <v>29</v>
      </c>
      <c r="Y6" s="1" t="s">
        <v>32</v>
      </c>
      <c r="Z6" s="1" t="s">
        <v>405</v>
      </c>
      <c r="AA6" s="1" t="str">
        <f>IFERROR(VLOOKUP(Tabela3[[#This Row],[Natureza]],Tabela4[[#All],[NATUREZA]:[CATEGORIA]],6,FALSE),"")</f>
        <v>Transferência de Entrada</v>
      </c>
    </row>
    <row r="7" spans="1:27" ht="15.75" hidden="1" x14ac:dyDescent="0.25">
      <c r="A7">
        <f>IF(Tabela3[[#This Row],[Natureza]]&lt;&gt;"",ROW(Tabela3[[#This Row],[Natureza]])-1)</f>
        <v>6</v>
      </c>
      <c r="B7" s="1"/>
      <c r="C7" s="1"/>
      <c r="D7" s="1"/>
      <c r="E7" s="1"/>
      <c r="F7" s="1"/>
      <c r="G7" s="1"/>
      <c r="H7" s="1" t="s">
        <v>24</v>
      </c>
      <c r="I7" s="2"/>
      <c r="J7" s="1" t="s">
        <v>31</v>
      </c>
      <c r="K7" s="2">
        <v>46251</v>
      </c>
      <c r="L7" s="3">
        <v>103200.85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4">
        <v>103200.85</v>
      </c>
      <c r="S7" s="1" t="s">
        <v>26</v>
      </c>
      <c r="T7" s="2">
        <v>46251</v>
      </c>
      <c r="U7" s="1" t="s">
        <v>27</v>
      </c>
      <c r="V7" s="1" t="s">
        <v>28</v>
      </c>
      <c r="W7" s="1"/>
      <c r="X7" s="1" t="s">
        <v>29</v>
      </c>
      <c r="Y7" s="1" t="s">
        <v>32</v>
      </c>
      <c r="Z7" s="1" t="s">
        <v>405</v>
      </c>
      <c r="AA7" s="1" t="str">
        <f>IFERROR(VLOOKUP(Tabela3[[#This Row],[Natureza]],Tabela4[[#All],[NATUREZA]:[CATEGORIA]],6,FALSE),"")</f>
        <v>Transferência de Entrada</v>
      </c>
    </row>
    <row r="8" spans="1:27" ht="15.75" hidden="1" x14ac:dyDescent="0.25">
      <c r="A8">
        <f>IF(Tabela3[[#This Row],[Natureza]]&lt;&gt;"",ROW(Tabela3[[#This Row],[Natureza]])-1)</f>
        <v>7</v>
      </c>
      <c r="B8" s="1"/>
      <c r="C8" s="1"/>
      <c r="D8" s="1"/>
      <c r="E8" s="1"/>
      <c r="F8" s="1"/>
      <c r="G8" s="1"/>
      <c r="H8" s="1" t="s">
        <v>24</v>
      </c>
      <c r="I8" s="2"/>
      <c r="J8" s="1" t="s">
        <v>31</v>
      </c>
      <c r="K8" s="2">
        <v>46260</v>
      </c>
      <c r="L8" s="3">
        <v>85208.14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4">
        <v>85208.14</v>
      </c>
      <c r="S8" s="1" t="s">
        <v>26</v>
      </c>
      <c r="T8" s="2">
        <v>46260</v>
      </c>
      <c r="U8" s="1" t="s">
        <v>27</v>
      </c>
      <c r="V8" s="1" t="s">
        <v>28</v>
      </c>
      <c r="W8" s="1"/>
      <c r="X8" s="1" t="s">
        <v>29</v>
      </c>
      <c r="Y8" s="1" t="s">
        <v>32</v>
      </c>
      <c r="Z8" s="1" t="s">
        <v>405</v>
      </c>
      <c r="AA8" s="1" t="str">
        <f>IFERROR(VLOOKUP(Tabela3[[#This Row],[Natureza]],Tabela4[[#All],[NATUREZA]:[CATEGORIA]],6,FALSE),"")</f>
        <v>Transferência de Entrada</v>
      </c>
    </row>
    <row r="9" spans="1:27" ht="15.75" hidden="1" x14ac:dyDescent="0.25">
      <c r="A9">
        <f>IF(Tabela3[[#This Row],[Natureza]]&lt;&gt;"",ROW(Tabela3[[#This Row],[Natureza]])-1)</f>
        <v>8</v>
      </c>
      <c r="B9" s="1"/>
      <c r="C9" s="1"/>
      <c r="D9" s="1"/>
      <c r="E9" s="1"/>
      <c r="F9" s="1"/>
      <c r="G9" s="1"/>
      <c r="H9" s="1" t="s">
        <v>46</v>
      </c>
      <c r="I9" s="2"/>
      <c r="J9" s="1" t="s">
        <v>47</v>
      </c>
      <c r="K9" s="2">
        <v>46265</v>
      </c>
      <c r="L9" s="3">
        <v>329191.14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4">
        <v>329191.14</v>
      </c>
      <c r="S9" s="1" t="s">
        <v>26</v>
      </c>
      <c r="T9" s="2">
        <v>46265</v>
      </c>
      <c r="U9" s="1" t="s">
        <v>27</v>
      </c>
      <c r="V9" s="1" t="s">
        <v>28</v>
      </c>
      <c r="W9" s="1"/>
      <c r="X9" s="1" t="s">
        <v>29</v>
      </c>
      <c r="Y9" s="1" t="s">
        <v>43</v>
      </c>
      <c r="Z9" s="1" t="s">
        <v>405</v>
      </c>
      <c r="AA9" s="1" t="str">
        <f>IFERROR(VLOOKUP(Tabela3[[#This Row],[Natureza]],Tabela4[[#All],[NATUREZA]:[CATEGORIA]],6,FALSE),"")</f>
        <v>Entrada</v>
      </c>
    </row>
    <row r="10" spans="1:27" ht="15.75" x14ac:dyDescent="0.25">
      <c r="A10">
        <f>IF(Tabela3[[#This Row],[Natureza]]&lt;&gt;"",ROW(Tabela3[[#This Row],[Natureza]])-1)</f>
        <v>9</v>
      </c>
      <c r="B10" s="1"/>
      <c r="C10" s="1"/>
      <c r="D10" s="1"/>
      <c r="E10" s="1"/>
      <c r="F10" s="1"/>
      <c r="G10" s="1"/>
      <c r="H10" s="1" t="s">
        <v>24</v>
      </c>
      <c r="I10" s="2"/>
      <c r="J10" s="1" t="s">
        <v>48</v>
      </c>
      <c r="K10" s="2">
        <v>46265</v>
      </c>
      <c r="L10" s="3">
        <v>29913714.57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4">
        <v>29913714.57</v>
      </c>
      <c r="S10" s="1" t="s">
        <v>26</v>
      </c>
      <c r="T10" s="2">
        <v>46265</v>
      </c>
      <c r="U10" s="1" t="s">
        <v>27</v>
      </c>
      <c r="V10" s="1" t="s">
        <v>28</v>
      </c>
      <c r="W10" s="1"/>
      <c r="X10" s="1" t="s">
        <v>29</v>
      </c>
      <c r="Y10" s="1" t="s">
        <v>45</v>
      </c>
      <c r="Z10" s="1" t="s">
        <v>405</v>
      </c>
      <c r="AA10" s="1" t="str">
        <f>IFERROR(VLOOKUP(Tabela3[[#This Row],[Natureza]],Tabela4[[#All],[NATUREZA]:[CATEGORIA]],6,FALSE),"")</f>
        <v>Transferência de Entrada</v>
      </c>
    </row>
    <row r="11" spans="1:27" ht="15.75" x14ac:dyDescent="0.25">
      <c r="A11">
        <f>IF(Tabela3[[#This Row],[Natureza]]&lt;&gt;"",ROW(Tabela3[[#This Row],[Natureza]])-1)</f>
        <v>10</v>
      </c>
      <c r="B11" s="1"/>
      <c r="C11" s="1"/>
      <c r="D11" s="1"/>
      <c r="E11" s="1"/>
      <c r="F11" s="1"/>
      <c r="G11" s="1"/>
      <c r="H11" s="1" t="s">
        <v>46</v>
      </c>
      <c r="I11" s="2"/>
      <c r="J11" s="1" t="s">
        <v>47</v>
      </c>
      <c r="K11" s="2">
        <v>46265</v>
      </c>
      <c r="L11" s="3">
        <v>294196.51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4">
        <v>294196.51</v>
      </c>
      <c r="S11" s="1" t="s">
        <v>26</v>
      </c>
      <c r="T11" s="2">
        <v>46265</v>
      </c>
      <c r="U11" s="1" t="s">
        <v>27</v>
      </c>
      <c r="V11" s="1" t="s">
        <v>28</v>
      </c>
      <c r="W11" s="1"/>
      <c r="X11" s="1" t="s">
        <v>29</v>
      </c>
      <c r="Y11" s="1" t="s">
        <v>45</v>
      </c>
      <c r="Z11" s="1" t="s">
        <v>405</v>
      </c>
      <c r="AA11" s="1" t="str">
        <f>IFERROR(VLOOKUP(Tabela3[[#This Row],[Natureza]],Tabela4[[#All],[NATUREZA]:[CATEGORIA]],6,FALSE),"")</f>
        <v>Entrada</v>
      </c>
    </row>
    <row r="12" spans="1:27" ht="15.75" hidden="1" x14ac:dyDescent="0.25">
      <c r="A12">
        <f>IF(Tabela3[[#This Row],[Natureza]]&lt;&gt;"",ROW(Tabela3[[#This Row],[Natureza]])-1)</f>
        <v>11</v>
      </c>
      <c r="B12" s="1"/>
      <c r="C12" s="1"/>
      <c r="D12" s="1"/>
      <c r="E12" s="1"/>
      <c r="F12" s="1"/>
      <c r="G12" s="1"/>
      <c r="H12" s="1" t="s">
        <v>24</v>
      </c>
      <c r="I12" s="2"/>
      <c r="J12" s="1" t="s">
        <v>49</v>
      </c>
      <c r="K12" s="2">
        <v>46267</v>
      </c>
      <c r="L12" s="3">
        <v>66803.81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4">
        <v>66803.81</v>
      </c>
      <c r="S12" s="1" t="s">
        <v>26</v>
      </c>
      <c r="T12" s="2">
        <v>46267</v>
      </c>
      <c r="U12" s="1" t="s">
        <v>27</v>
      </c>
      <c r="V12" s="1" t="s">
        <v>28</v>
      </c>
      <c r="W12" s="1"/>
      <c r="X12" s="1" t="s">
        <v>29</v>
      </c>
      <c r="Y12" s="1" t="s">
        <v>32</v>
      </c>
      <c r="Z12" s="1" t="s">
        <v>405</v>
      </c>
      <c r="AA12" s="1" t="str">
        <f>IFERROR(VLOOKUP(Tabela3[[#This Row],[Natureza]],Tabela4[[#All],[NATUREZA]:[CATEGORIA]],6,FALSE),"")</f>
        <v>Transferência de Entrada</v>
      </c>
    </row>
    <row r="13" spans="1:27" ht="15.75" hidden="1" x14ac:dyDescent="0.25">
      <c r="A13">
        <f>IF(Tabela3[[#This Row],[Natureza]]&lt;&gt;"",ROW(Tabela3[[#This Row],[Natureza]])-1)</f>
        <v>12</v>
      </c>
      <c r="B13" s="1"/>
      <c r="C13" s="1"/>
      <c r="D13" s="1"/>
      <c r="E13" s="1"/>
      <c r="F13" s="1"/>
      <c r="G13" s="1"/>
      <c r="H13" s="1" t="s">
        <v>24</v>
      </c>
      <c r="I13" s="2"/>
      <c r="J13" s="1" t="s">
        <v>31</v>
      </c>
      <c r="K13" s="2">
        <v>46274</v>
      </c>
      <c r="L13" s="3">
        <v>22549.279999999999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4">
        <v>22549.279999999999</v>
      </c>
      <c r="S13" s="1" t="s">
        <v>26</v>
      </c>
      <c r="T13" s="2">
        <v>46274</v>
      </c>
      <c r="U13" s="1" t="s">
        <v>27</v>
      </c>
      <c r="V13" s="1" t="s">
        <v>28</v>
      </c>
      <c r="W13" s="1"/>
      <c r="X13" s="1" t="s">
        <v>29</v>
      </c>
      <c r="Y13" s="1" t="s">
        <v>32</v>
      </c>
      <c r="Z13" s="1" t="s">
        <v>405</v>
      </c>
      <c r="AA13" s="1" t="str">
        <f>IFERROR(VLOOKUP(Tabela3[[#This Row],[Natureza]],Tabela4[[#All],[NATUREZA]:[CATEGORIA]],6,FALSE),"")</f>
        <v>Transferência de Entrada</v>
      </c>
    </row>
    <row r="14" spans="1:27" ht="15.75" hidden="1" x14ac:dyDescent="0.25">
      <c r="A14">
        <f>IF(Tabela3[[#This Row],[Natureza]]&lt;&gt;"",ROW(Tabela3[[#This Row],[Natureza]])-1)</f>
        <v>13</v>
      </c>
      <c r="B14" s="1"/>
      <c r="C14" s="1"/>
      <c r="D14" s="1"/>
      <c r="E14" s="1"/>
      <c r="F14" s="1"/>
      <c r="G14" s="1"/>
      <c r="H14" s="1" t="s">
        <v>24</v>
      </c>
      <c r="I14" s="2"/>
      <c r="J14" s="1" t="s">
        <v>31</v>
      </c>
      <c r="K14" s="2">
        <v>46276</v>
      </c>
      <c r="L14" s="3">
        <v>54654.31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4">
        <v>54654.31</v>
      </c>
      <c r="S14" s="1" t="s">
        <v>26</v>
      </c>
      <c r="T14" s="2">
        <v>46276</v>
      </c>
      <c r="U14" s="1" t="s">
        <v>27</v>
      </c>
      <c r="V14" s="1" t="s">
        <v>28</v>
      </c>
      <c r="W14" s="1"/>
      <c r="X14" s="1" t="s">
        <v>29</v>
      </c>
      <c r="Y14" s="1" t="s">
        <v>32</v>
      </c>
      <c r="Z14" s="1" t="s">
        <v>405</v>
      </c>
      <c r="AA14" s="1" t="str">
        <f>IFERROR(VLOOKUP(Tabela3[[#This Row],[Natureza]],Tabela4[[#All],[NATUREZA]:[CATEGORIA]],6,FALSE),"")</f>
        <v>Transferência de Entrada</v>
      </c>
    </row>
    <row r="15" spans="1:27" ht="15.75" hidden="1" x14ac:dyDescent="0.25">
      <c r="A15">
        <f>IF(Tabela3[[#This Row],[Natureza]]&lt;&gt;"",ROW(Tabela3[[#This Row],[Natureza]])-1)</f>
        <v>14</v>
      </c>
      <c r="B15" s="1"/>
      <c r="C15" s="1"/>
      <c r="D15" s="1"/>
      <c r="E15" s="1"/>
      <c r="F15" s="1"/>
      <c r="G15" s="1"/>
      <c r="H15" s="1" t="s">
        <v>24</v>
      </c>
      <c r="I15" s="2"/>
      <c r="J15" s="1" t="s">
        <v>31</v>
      </c>
      <c r="K15" s="2">
        <v>46279</v>
      </c>
      <c r="L15" s="3">
        <v>8837.83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4">
        <v>8837.83</v>
      </c>
      <c r="S15" s="1" t="s">
        <v>26</v>
      </c>
      <c r="T15" s="2">
        <v>46279</v>
      </c>
      <c r="U15" s="1" t="s">
        <v>27</v>
      </c>
      <c r="V15" s="1" t="s">
        <v>28</v>
      </c>
      <c r="W15" s="1"/>
      <c r="X15" s="1" t="s">
        <v>29</v>
      </c>
      <c r="Y15" s="1" t="s">
        <v>32</v>
      </c>
      <c r="Z15" s="1" t="s">
        <v>405</v>
      </c>
      <c r="AA15" s="1" t="str">
        <f>IFERROR(VLOOKUP(Tabela3[[#This Row],[Natureza]],Tabela4[[#All],[NATUREZA]:[CATEGORIA]],6,FALSE),"")</f>
        <v>Transferência de Entrada</v>
      </c>
    </row>
    <row r="16" spans="1:27" ht="15.75" hidden="1" x14ac:dyDescent="0.25">
      <c r="A16">
        <f>IF(Tabela3[[#This Row],[Natureza]]&lt;&gt;"",ROW(Tabela3[[#This Row],[Natureza]])-1)</f>
        <v>15</v>
      </c>
      <c r="B16" s="1"/>
      <c r="C16" s="1"/>
      <c r="D16" s="1"/>
      <c r="E16" s="1"/>
      <c r="F16" s="1"/>
      <c r="G16" s="1"/>
      <c r="H16" s="1" t="s">
        <v>24</v>
      </c>
      <c r="I16" s="2"/>
      <c r="J16" s="1" t="s">
        <v>31</v>
      </c>
      <c r="K16" s="2">
        <v>46279</v>
      </c>
      <c r="L16" s="3">
        <v>8837.83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4">
        <v>8837.83</v>
      </c>
      <c r="S16" s="1" t="s">
        <v>26</v>
      </c>
      <c r="T16" s="2">
        <v>46279</v>
      </c>
      <c r="U16" s="1" t="s">
        <v>27</v>
      </c>
      <c r="V16" s="1" t="s">
        <v>28</v>
      </c>
      <c r="W16" s="1"/>
      <c r="X16" s="1" t="s">
        <v>29</v>
      </c>
      <c r="Y16" s="1" t="s">
        <v>32</v>
      </c>
      <c r="Z16" s="1" t="s">
        <v>405</v>
      </c>
      <c r="AA16" s="1" t="str">
        <f>IFERROR(VLOOKUP(Tabela3[[#This Row],[Natureza]],Tabela4[[#All],[NATUREZA]:[CATEGORIA]],6,FALSE),"")</f>
        <v>Transferência de Entrada</v>
      </c>
    </row>
    <row r="17" spans="1:27" ht="15.75" hidden="1" x14ac:dyDescent="0.25">
      <c r="A17">
        <f>IF(Tabela3[[#This Row],[Natureza]]&lt;&gt;"",ROW(Tabela3[[#This Row],[Natureza]])-1)</f>
        <v>16</v>
      </c>
      <c r="B17" s="1"/>
      <c r="C17" s="1"/>
      <c r="D17" s="1"/>
      <c r="E17" s="1"/>
      <c r="F17" s="1"/>
      <c r="G17" s="1"/>
      <c r="H17" s="1" t="s">
        <v>41</v>
      </c>
      <c r="I17" s="2"/>
      <c r="J17" s="1" t="s">
        <v>69</v>
      </c>
      <c r="K17" s="2">
        <v>46237</v>
      </c>
      <c r="L17" s="4">
        <v>27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4">
        <v>27</v>
      </c>
      <c r="S17" s="1" t="s">
        <v>26</v>
      </c>
      <c r="T17" s="2">
        <v>46237</v>
      </c>
      <c r="U17" s="1" t="s">
        <v>27</v>
      </c>
      <c r="V17" s="1" t="s">
        <v>28</v>
      </c>
      <c r="W17" s="1"/>
      <c r="X17" s="1" t="s">
        <v>29</v>
      </c>
      <c r="Y17" s="1" t="s">
        <v>32</v>
      </c>
      <c r="Z17" s="1" t="s">
        <v>404</v>
      </c>
      <c r="AA17" s="1" t="str">
        <f>IFERROR(VLOOKUP(Tabela3[[#This Row],[Natureza]],Tabela4[[#All],[NATUREZA]:[CATEGORIA]],6,FALSE),"")</f>
        <v>Transferência de Saída</v>
      </c>
    </row>
    <row r="18" spans="1:27" ht="15.75" x14ac:dyDescent="0.25">
      <c r="A18">
        <f>IF(Tabela3[[#This Row],[Natureza]]&lt;&gt;"",ROW(Tabela3[[#This Row],[Natureza]])-1)</f>
        <v>17</v>
      </c>
      <c r="B18" s="1"/>
      <c r="C18" s="1"/>
      <c r="D18" s="1"/>
      <c r="E18" s="1"/>
      <c r="F18" s="1"/>
      <c r="G18" s="1"/>
      <c r="H18" s="1" t="s">
        <v>41</v>
      </c>
      <c r="I18" s="2"/>
      <c r="J18" s="1" t="s">
        <v>71</v>
      </c>
      <c r="K18" s="2">
        <v>46237</v>
      </c>
      <c r="L18" s="3">
        <v>70611.69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4">
        <v>70611.69</v>
      </c>
      <c r="S18" s="1" t="s">
        <v>26</v>
      </c>
      <c r="T18" s="2">
        <v>46237</v>
      </c>
      <c r="U18" s="1" t="s">
        <v>27</v>
      </c>
      <c r="V18" s="1" t="s">
        <v>28</v>
      </c>
      <c r="W18" s="1"/>
      <c r="X18" s="1" t="s">
        <v>29</v>
      </c>
      <c r="Y18" s="1" t="s">
        <v>45</v>
      </c>
      <c r="Z18" s="1" t="s">
        <v>404</v>
      </c>
      <c r="AA18" s="1" t="str">
        <f>IFERROR(VLOOKUP(Tabela3[[#This Row],[Natureza]],Tabela4[[#All],[NATUREZA]:[CATEGORIA]],6,FALSE),"")</f>
        <v>Transferência de Saída</v>
      </c>
    </row>
    <row r="19" spans="1:27" ht="15.75" x14ac:dyDescent="0.25">
      <c r="A19">
        <f>IF(Tabela3[[#This Row],[Natureza]]&lt;&gt;"",ROW(Tabela3[[#This Row],[Natureza]])-1)</f>
        <v>18</v>
      </c>
      <c r="B19" s="1"/>
      <c r="C19" s="1"/>
      <c r="D19" s="1"/>
      <c r="E19" s="1"/>
      <c r="F19" s="1"/>
      <c r="G19" s="1"/>
      <c r="H19" s="1" t="s">
        <v>41</v>
      </c>
      <c r="I19" s="2"/>
      <c r="J19" s="1" t="s">
        <v>71</v>
      </c>
      <c r="K19" s="2">
        <v>46244</v>
      </c>
      <c r="L19" s="3">
        <v>70611.69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4">
        <v>70611.69</v>
      </c>
      <c r="S19" s="1" t="s">
        <v>26</v>
      </c>
      <c r="T19" s="2">
        <v>46244</v>
      </c>
      <c r="U19" s="1" t="s">
        <v>27</v>
      </c>
      <c r="V19" s="1" t="s">
        <v>28</v>
      </c>
      <c r="W19" s="1"/>
      <c r="X19" s="1" t="s">
        <v>29</v>
      </c>
      <c r="Y19" s="1" t="s">
        <v>45</v>
      </c>
      <c r="Z19" s="1" t="s">
        <v>404</v>
      </c>
      <c r="AA19" s="1" t="str">
        <f>IFERROR(VLOOKUP(Tabela3[[#This Row],[Natureza]],Tabela4[[#All],[NATUREZA]:[CATEGORIA]],6,FALSE),"")</f>
        <v>Transferência de Saída</v>
      </c>
    </row>
    <row r="20" spans="1:27" ht="15.75" hidden="1" x14ac:dyDescent="0.25">
      <c r="A20">
        <f>IF(Tabela3[[#This Row],[Natureza]]&lt;&gt;"",ROW(Tabela3[[#This Row],[Natureza]])-1)</f>
        <v>19</v>
      </c>
      <c r="B20" s="1"/>
      <c r="C20" s="1"/>
      <c r="D20" s="1"/>
      <c r="E20" s="1"/>
      <c r="F20" s="1"/>
      <c r="G20" s="1"/>
      <c r="H20" s="1" t="s">
        <v>41</v>
      </c>
      <c r="I20" s="2"/>
      <c r="J20" s="1" t="s">
        <v>86</v>
      </c>
      <c r="K20" s="2">
        <v>46245</v>
      </c>
      <c r="L20" s="4">
        <v>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4">
        <v>2</v>
      </c>
      <c r="S20" s="1" t="s">
        <v>26</v>
      </c>
      <c r="T20" s="2">
        <v>46245</v>
      </c>
      <c r="U20" s="1" t="s">
        <v>27</v>
      </c>
      <c r="V20" s="1" t="s">
        <v>28</v>
      </c>
      <c r="W20" s="1"/>
      <c r="X20" s="1" t="s">
        <v>29</v>
      </c>
      <c r="Y20" s="1" t="s">
        <v>32</v>
      </c>
      <c r="Z20" s="1" t="s">
        <v>404</v>
      </c>
      <c r="AA20" s="1" t="str">
        <f>IFERROR(VLOOKUP(Tabela3[[#This Row],[Natureza]],Tabela4[[#All],[NATUREZA]:[CATEGORIA]],6,FALSE),"")</f>
        <v>Transferência de Saída</v>
      </c>
    </row>
    <row r="21" spans="1:27" ht="15.75" x14ac:dyDescent="0.25">
      <c r="A21">
        <f>IF(Tabela3[[#This Row],[Natureza]]&lt;&gt;"",ROW(Tabela3[[#This Row],[Natureza]])-1)</f>
        <v>20</v>
      </c>
      <c r="B21" s="1"/>
      <c r="C21" s="1"/>
      <c r="D21" s="1"/>
      <c r="E21" s="1"/>
      <c r="F21" s="1"/>
      <c r="G21" s="1"/>
      <c r="H21" s="1" t="s">
        <v>41</v>
      </c>
      <c r="I21" s="2"/>
      <c r="J21" s="1" t="s">
        <v>97</v>
      </c>
      <c r="K21" s="2">
        <v>46251</v>
      </c>
      <c r="L21" s="3">
        <v>104570.85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4">
        <v>104570.85</v>
      </c>
      <c r="S21" s="1" t="s">
        <v>26</v>
      </c>
      <c r="T21" s="2">
        <v>46251</v>
      </c>
      <c r="U21" s="1" t="s">
        <v>27</v>
      </c>
      <c r="V21" s="1" t="s">
        <v>28</v>
      </c>
      <c r="W21" s="1"/>
      <c r="X21" s="1" t="s">
        <v>29</v>
      </c>
      <c r="Y21" s="1" t="s">
        <v>45</v>
      </c>
      <c r="Z21" s="1" t="s">
        <v>404</v>
      </c>
      <c r="AA21" s="1" t="str">
        <f>IFERROR(VLOOKUP(Tabela3[[#This Row],[Natureza]],Tabela4[[#All],[NATUREZA]:[CATEGORIA]],6,FALSE),"")</f>
        <v>Transferência de Saída</v>
      </c>
    </row>
    <row r="22" spans="1:27" ht="15.75" hidden="1" x14ac:dyDescent="0.25">
      <c r="A22">
        <f>IF(Tabela3[[#This Row],[Natureza]]&lt;&gt;"",ROW(Tabela3[[#This Row],[Natureza]])-1)</f>
        <v>21</v>
      </c>
      <c r="B22" s="1"/>
      <c r="C22" s="1"/>
      <c r="D22" s="1"/>
      <c r="E22" s="1"/>
      <c r="F22" s="1"/>
      <c r="G22" s="1"/>
      <c r="H22" s="1" t="s">
        <v>41</v>
      </c>
      <c r="I22" s="2"/>
      <c r="J22" s="1" t="s">
        <v>98</v>
      </c>
      <c r="K22" s="2">
        <v>46253</v>
      </c>
      <c r="L22" s="4">
        <v>100011.95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4">
        <v>100011.95</v>
      </c>
      <c r="S22" s="1" t="s">
        <v>26</v>
      </c>
      <c r="T22" s="2">
        <v>46253</v>
      </c>
      <c r="U22" s="1" t="s">
        <v>27</v>
      </c>
      <c r="V22" s="1" t="s">
        <v>28</v>
      </c>
      <c r="W22" s="1"/>
      <c r="X22" s="1" t="s">
        <v>29</v>
      </c>
      <c r="Y22" s="1" t="s">
        <v>32</v>
      </c>
      <c r="Z22" s="1" t="s">
        <v>404</v>
      </c>
      <c r="AA22" s="1" t="str">
        <f>IFERROR(VLOOKUP(Tabela3[[#This Row],[Natureza]],Tabela4[[#All],[NATUREZA]:[CATEGORIA]],6,FALSE),"")</f>
        <v>Transferência de Saída</v>
      </c>
    </row>
    <row r="23" spans="1:27" ht="15.75" x14ac:dyDescent="0.25">
      <c r="A23">
        <f>IF(Tabela3[[#This Row],[Natureza]]&lt;&gt;"",ROW(Tabela3[[#This Row],[Natureza]])-1)</f>
        <v>22</v>
      </c>
      <c r="B23" s="1"/>
      <c r="C23" s="1"/>
      <c r="D23" s="1"/>
      <c r="E23" s="1"/>
      <c r="F23" s="1"/>
      <c r="G23" s="1"/>
      <c r="H23" s="1" t="s">
        <v>41</v>
      </c>
      <c r="I23" s="2"/>
      <c r="J23" s="1" t="s">
        <v>110</v>
      </c>
      <c r="K23" s="2">
        <v>46253</v>
      </c>
      <c r="L23" s="3">
        <v>10259.450000000001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4">
        <v>10259.450000000001</v>
      </c>
      <c r="S23" s="1" t="s">
        <v>26</v>
      </c>
      <c r="T23" s="2">
        <v>46253</v>
      </c>
      <c r="U23" s="1" t="s">
        <v>27</v>
      </c>
      <c r="V23" s="1" t="s">
        <v>28</v>
      </c>
      <c r="W23" s="1"/>
      <c r="X23" s="1" t="s">
        <v>29</v>
      </c>
      <c r="Y23" s="1" t="s">
        <v>45</v>
      </c>
      <c r="Z23" s="1" t="s">
        <v>404</v>
      </c>
      <c r="AA23" s="1" t="str">
        <f>IFERROR(VLOOKUP(Tabela3[[#This Row],[Natureza]],Tabela4[[#All],[NATUREZA]:[CATEGORIA]],6,FALSE),"")</f>
        <v>Transferência de Saída</v>
      </c>
    </row>
    <row r="24" spans="1:27" ht="15.75" hidden="1" x14ac:dyDescent="0.25">
      <c r="A24">
        <f>IF(Tabela3[[#This Row],[Natureza]]&lt;&gt;"",ROW(Tabela3[[#This Row],[Natureza]])-1)</f>
        <v>23</v>
      </c>
      <c r="B24" s="1"/>
      <c r="C24" s="1"/>
      <c r="D24" s="1"/>
      <c r="E24" s="1"/>
      <c r="F24" s="1"/>
      <c r="G24" s="1"/>
      <c r="H24" s="1" t="s">
        <v>41</v>
      </c>
      <c r="I24" s="2"/>
      <c r="J24" s="1" t="s">
        <v>111</v>
      </c>
      <c r="K24" s="2">
        <v>46254</v>
      </c>
      <c r="L24" s="4">
        <v>18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4">
        <v>18</v>
      </c>
      <c r="S24" s="1" t="s">
        <v>26</v>
      </c>
      <c r="T24" s="2">
        <v>46254</v>
      </c>
      <c r="U24" s="1" t="s">
        <v>27</v>
      </c>
      <c r="V24" s="1" t="s">
        <v>28</v>
      </c>
      <c r="W24" s="1"/>
      <c r="X24" s="1" t="s">
        <v>29</v>
      </c>
      <c r="Y24" s="1" t="s">
        <v>32</v>
      </c>
      <c r="Z24" s="1" t="s">
        <v>404</v>
      </c>
      <c r="AA24" s="1" t="str">
        <f>IFERROR(VLOOKUP(Tabela3[[#This Row],[Natureza]],Tabela4[[#All],[NATUREZA]:[CATEGORIA]],6,FALSE),"")</f>
        <v>Transferência de Saída</v>
      </c>
    </row>
    <row r="25" spans="1:27" ht="15.75" hidden="1" x14ac:dyDescent="0.25">
      <c r="A25">
        <f>IF(Tabela3[[#This Row],[Natureza]]&lt;&gt;"",ROW(Tabela3[[#This Row],[Natureza]])-1)</f>
        <v>24</v>
      </c>
      <c r="B25" s="1"/>
      <c r="C25" s="1"/>
      <c r="D25" s="1"/>
      <c r="E25" s="1"/>
      <c r="F25" s="1"/>
      <c r="G25" s="1"/>
      <c r="H25" s="1" t="s">
        <v>41</v>
      </c>
      <c r="I25" s="2"/>
      <c r="J25" s="1" t="s">
        <v>112</v>
      </c>
      <c r="K25" s="2">
        <v>46258</v>
      </c>
      <c r="L25" s="4">
        <v>794.89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4">
        <v>794.89</v>
      </c>
      <c r="S25" s="1" t="s">
        <v>26</v>
      </c>
      <c r="T25" s="2">
        <v>46258</v>
      </c>
      <c r="U25" s="1" t="s">
        <v>27</v>
      </c>
      <c r="V25" s="1" t="s">
        <v>28</v>
      </c>
      <c r="W25" s="1"/>
      <c r="X25" s="1" t="s">
        <v>29</v>
      </c>
      <c r="Y25" s="1" t="s">
        <v>32</v>
      </c>
      <c r="Z25" s="1" t="s">
        <v>404</v>
      </c>
      <c r="AA25" s="1" t="str">
        <f>IFERROR(VLOOKUP(Tabela3[[#This Row],[Natureza]],Tabela4[[#All],[NATUREZA]:[CATEGORIA]],6,FALSE),"")</f>
        <v>Transferência de Saída</v>
      </c>
    </row>
    <row r="26" spans="1:27" ht="15.75" x14ac:dyDescent="0.25">
      <c r="A26">
        <f>IF(Tabela3[[#This Row],[Natureza]]&lt;&gt;"",ROW(Tabela3[[#This Row],[Natureza]])-1)</f>
        <v>25</v>
      </c>
      <c r="B26" s="1"/>
      <c r="C26" s="1"/>
      <c r="D26" s="1"/>
      <c r="E26" s="1"/>
      <c r="F26" s="1"/>
      <c r="G26" s="1"/>
      <c r="H26" s="1" t="s">
        <v>41</v>
      </c>
      <c r="I26" s="2"/>
      <c r="J26" s="1" t="s">
        <v>128</v>
      </c>
      <c r="K26" s="2">
        <v>46258</v>
      </c>
      <c r="L26" s="3">
        <v>20541.11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4">
        <v>20541.11</v>
      </c>
      <c r="S26" s="1" t="s">
        <v>26</v>
      </c>
      <c r="T26" s="2">
        <v>46258</v>
      </c>
      <c r="U26" s="1" t="s">
        <v>27</v>
      </c>
      <c r="V26" s="1" t="s">
        <v>28</v>
      </c>
      <c r="W26" s="1"/>
      <c r="X26" s="1" t="s">
        <v>29</v>
      </c>
      <c r="Y26" s="1" t="s">
        <v>45</v>
      </c>
      <c r="Z26" s="1" t="s">
        <v>404</v>
      </c>
      <c r="AA26" s="1" t="str">
        <f>IFERROR(VLOOKUP(Tabela3[[#This Row],[Natureza]],Tabela4[[#All],[NATUREZA]:[CATEGORIA]],6,FALSE),"")</f>
        <v>Transferência de Saída</v>
      </c>
    </row>
    <row r="27" spans="1:27" ht="15.75" hidden="1" x14ac:dyDescent="0.25">
      <c r="A27">
        <f>IF(Tabela3[[#This Row],[Natureza]]&lt;&gt;"",ROW(Tabela3[[#This Row],[Natureza]])-1)</f>
        <v>26</v>
      </c>
      <c r="B27" s="1"/>
      <c r="C27" s="1"/>
      <c r="D27" s="1"/>
      <c r="E27" s="1"/>
      <c r="F27" s="1"/>
      <c r="G27" s="1"/>
      <c r="H27" s="1" t="s">
        <v>41</v>
      </c>
      <c r="I27" s="2"/>
      <c r="J27" s="1" t="s">
        <v>129</v>
      </c>
      <c r="K27" s="2">
        <v>46259</v>
      </c>
      <c r="L27" s="4">
        <v>9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4">
        <v>9</v>
      </c>
      <c r="S27" s="1" t="s">
        <v>26</v>
      </c>
      <c r="T27" s="2">
        <v>46259</v>
      </c>
      <c r="U27" s="1" t="s">
        <v>27</v>
      </c>
      <c r="V27" s="1" t="s">
        <v>28</v>
      </c>
      <c r="W27" s="1"/>
      <c r="X27" s="1" t="s">
        <v>29</v>
      </c>
      <c r="Y27" s="1" t="s">
        <v>32</v>
      </c>
      <c r="Z27" s="1" t="s">
        <v>404</v>
      </c>
      <c r="AA27" s="1" t="str">
        <f>IFERROR(VLOOKUP(Tabela3[[#This Row],[Natureza]],Tabela4[[#All],[NATUREZA]:[CATEGORIA]],6,FALSE),"")</f>
        <v>Transferência de Saída</v>
      </c>
    </row>
    <row r="28" spans="1:27" ht="15.75" x14ac:dyDescent="0.25">
      <c r="A28">
        <f>IF(Tabela3[[#This Row],[Natureza]]&lt;&gt;"",ROW(Tabela3[[#This Row],[Natureza]])-1)</f>
        <v>27</v>
      </c>
      <c r="B28" s="1"/>
      <c r="C28" s="1"/>
      <c r="D28" s="1"/>
      <c r="E28" s="1"/>
      <c r="F28" s="1"/>
      <c r="G28" s="1"/>
      <c r="H28" s="1" t="s">
        <v>41</v>
      </c>
      <c r="I28" s="2"/>
      <c r="J28" s="1" t="s">
        <v>131</v>
      </c>
      <c r="K28" s="2">
        <v>46260</v>
      </c>
      <c r="L28" s="3">
        <v>85307.14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4">
        <v>85307.14</v>
      </c>
      <c r="S28" s="1" t="s">
        <v>26</v>
      </c>
      <c r="T28" s="2">
        <v>46260</v>
      </c>
      <c r="U28" s="1" t="s">
        <v>27</v>
      </c>
      <c r="V28" s="1" t="s">
        <v>28</v>
      </c>
      <c r="W28" s="1"/>
      <c r="X28" s="1" t="s">
        <v>29</v>
      </c>
      <c r="Y28" s="1" t="s">
        <v>45</v>
      </c>
      <c r="Z28" s="1" t="s">
        <v>404</v>
      </c>
      <c r="AA28" s="1" t="str">
        <f>IFERROR(VLOOKUP(Tabela3[[#This Row],[Natureza]],Tabela4[[#All],[NATUREZA]:[CATEGORIA]],6,FALSE),"")</f>
        <v>Transferência de Saída</v>
      </c>
    </row>
    <row r="29" spans="1:27" ht="15.75" hidden="1" x14ac:dyDescent="0.25">
      <c r="A29">
        <f>IF(Tabela3[[#This Row],[Natureza]]&lt;&gt;"",ROW(Tabela3[[#This Row],[Natureza]])-1)</f>
        <v>28</v>
      </c>
      <c r="B29" s="1"/>
      <c r="C29" s="1"/>
      <c r="D29" s="1"/>
      <c r="E29" s="1"/>
      <c r="F29" s="1"/>
      <c r="G29" s="1"/>
      <c r="H29" s="1" t="s">
        <v>41</v>
      </c>
      <c r="I29" s="2"/>
      <c r="J29" s="1" t="s">
        <v>132</v>
      </c>
      <c r="K29" s="2">
        <v>46261</v>
      </c>
      <c r="L29" s="4">
        <v>68332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4">
        <v>68332</v>
      </c>
      <c r="S29" s="1" t="s">
        <v>26</v>
      </c>
      <c r="T29" s="2">
        <v>46261</v>
      </c>
      <c r="U29" s="1" t="s">
        <v>27</v>
      </c>
      <c r="V29" s="1" t="s">
        <v>28</v>
      </c>
      <c r="W29" s="1"/>
      <c r="X29" s="1" t="s">
        <v>29</v>
      </c>
      <c r="Y29" s="1" t="s">
        <v>32</v>
      </c>
      <c r="Z29" s="1" t="s">
        <v>404</v>
      </c>
      <c r="AA29" s="1" t="str">
        <f>IFERROR(VLOOKUP(Tabela3[[#This Row],[Natureza]],Tabela4[[#All],[NATUREZA]:[CATEGORIA]],6,FALSE),"")</f>
        <v>Transferência de Saída</v>
      </c>
    </row>
    <row r="30" spans="1:27" ht="15.75" x14ac:dyDescent="0.25">
      <c r="A30">
        <f>IF(Tabela3[[#This Row],[Natureza]]&lt;&gt;"",ROW(Tabela3[[#This Row],[Natureza]])-1)</f>
        <v>29</v>
      </c>
      <c r="B30" s="1"/>
      <c r="C30" s="1"/>
      <c r="D30" s="1"/>
      <c r="E30" s="1"/>
      <c r="F30" s="1"/>
      <c r="G30" s="1"/>
      <c r="H30" s="1" t="s">
        <v>41</v>
      </c>
      <c r="I30" s="2"/>
      <c r="J30" s="1" t="s">
        <v>158</v>
      </c>
      <c r="K30" s="2">
        <v>46261</v>
      </c>
      <c r="L30" s="3">
        <v>68332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4">
        <v>68332</v>
      </c>
      <c r="S30" s="1" t="s">
        <v>26</v>
      </c>
      <c r="T30" s="2">
        <v>46261</v>
      </c>
      <c r="U30" s="1" t="s">
        <v>27</v>
      </c>
      <c r="V30" s="1" t="s">
        <v>28</v>
      </c>
      <c r="W30" s="1"/>
      <c r="X30" s="1" t="s">
        <v>29</v>
      </c>
      <c r="Y30" s="1" t="s">
        <v>45</v>
      </c>
      <c r="Z30" s="1" t="s">
        <v>404</v>
      </c>
      <c r="AA30" s="1" t="str">
        <f>IFERROR(VLOOKUP(Tabela3[[#This Row],[Natureza]],Tabela4[[#All],[NATUREZA]:[CATEGORIA]],6,FALSE),"")</f>
        <v>Transferência de Saída</v>
      </c>
    </row>
    <row r="31" spans="1:27" ht="15.75" hidden="1" x14ac:dyDescent="0.25">
      <c r="A31">
        <f>IF(Tabela3[[#This Row],[Natureza]]&lt;&gt;"",ROW(Tabela3[[#This Row],[Natureza]])-1)</f>
        <v>30</v>
      </c>
      <c r="B31" s="1"/>
      <c r="C31" s="1"/>
      <c r="D31" s="1"/>
      <c r="E31" s="1"/>
      <c r="F31" s="1"/>
      <c r="G31" s="1"/>
      <c r="H31" s="1" t="s">
        <v>41</v>
      </c>
      <c r="I31" s="2"/>
      <c r="J31" s="1" t="s">
        <v>159</v>
      </c>
      <c r="K31" s="2">
        <v>46262</v>
      </c>
      <c r="L31" s="4">
        <v>27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4">
        <v>27</v>
      </c>
      <c r="S31" s="1" t="s">
        <v>26</v>
      </c>
      <c r="T31" s="2">
        <v>46262</v>
      </c>
      <c r="U31" s="1" t="s">
        <v>27</v>
      </c>
      <c r="V31" s="1" t="s">
        <v>28</v>
      </c>
      <c r="W31" s="1"/>
      <c r="X31" s="1" t="s">
        <v>29</v>
      </c>
      <c r="Y31" s="1" t="s">
        <v>32</v>
      </c>
      <c r="Z31" s="1" t="s">
        <v>404</v>
      </c>
      <c r="AA31" s="1" t="str">
        <f>IFERROR(VLOOKUP(Tabela3[[#This Row],[Natureza]],Tabela4[[#All],[NATUREZA]:[CATEGORIA]],6,FALSE),"")</f>
        <v>Transferência de Saída</v>
      </c>
    </row>
    <row r="32" spans="1:27" ht="15.75" hidden="1" x14ac:dyDescent="0.25">
      <c r="A32">
        <f>IF(Tabela3[[#This Row],[Natureza]]&lt;&gt;"",ROW(Tabela3[[#This Row],[Natureza]])-1)</f>
        <v>31</v>
      </c>
      <c r="B32" s="1"/>
      <c r="C32" s="1"/>
      <c r="D32" s="1"/>
      <c r="E32" s="1"/>
      <c r="F32" s="1"/>
      <c r="G32" s="1"/>
      <c r="H32" s="1" t="s">
        <v>41</v>
      </c>
      <c r="I32" s="2"/>
      <c r="J32" s="1" t="s">
        <v>160</v>
      </c>
      <c r="K32" s="2">
        <v>46262</v>
      </c>
      <c r="L32" s="4">
        <v>29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4">
        <v>29</v>
      </c>
      <c r="S32" s="1" t="s">
        <v>26</v>
      </c>
      <c r="T32" s="2">
        <v>46262</v>
      </c>
      <c r="U32" s="1" t="s">
        <v>27</v>
      </c>
      <c r="V32" s="1" t="s">
        <v>28</v>
      </c>
      <c r="W32" s="1"/>
      <c r="X32" s="1" t="s">
        <v>29</v>
      </c>
      <c r="Y32" s="1" t="s">
        <v>32</v>
      </c>
      <c r="Z32" s="1" t="s">
        <v>404</v>
      </c>
      <c r="AA32" s="1" t="str">
        <f>IFERROR(VLOOKUP(Tabela3[[#This Row],[Natureza]],Tabela4[[#All],[NATUREZA]:[CATEGORIA]],6,FALSE),"")</f>
        <v>Transferência de Saída</v>
      </c>
    </row>
    <row r="33" spans="1:27" ht="15.75" hidden="1" x14ac:dyDescent="0.25">
      <c r="A33">
        <f>IF(Tabela3[[#This Row],[Natureza]]&lt;&gt;"",ROW(Tabela3[[#This Row],[Natureza]])-1)</f>
        <v>32</v>
      </c>
      <c r="B33" s="1"/>
      <c r="C33" s="1"/>
      <c r="D33" s="1"/>
      <c r="E33" s="1"/>
      <c r="F33" s="1"/>
      <c r="G33" s="1"/>
      <c r="H33" s="1" t="s">
        <v>41</v>
      </c>
      <c r="I33" s="2"/>
      <c r="J33" s="1" t="s">
        <v>162</v>
      </c>
      <c r="K33" s="2">
        <v>46265</v>
      </c>
      <c r="L33" s="4">
        <v>15691.4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4">
        <v>15691.4</v>
      </c>
      <c r="S33" s="1" t="s">
        <v>26</v>
      </c>
      <c r="T33" s="2">
        <v>46265</v>
      </c>
      <c r="U33" s="1" t="s">
        <v>27</v>
      </c>
      <c r="V33" s="1" t="s">
        <v>28</v>
      </c>
      <c r="W33" s="1"/>
      <c r="X33" s="1" t="s">
        <v>29</v>
      </c>
      <c r="Y33" s="1" t="s">
        <v>32</v>
      </c>
      <c r="Z33" s="1" t="s">
        <v>404</v>
      </c>
      <c r="AA33" s="1" t="str">
        <f>IFERROR(VLOOKUP(Tabela3[[#This Row],[Natureza]],Tabela4[[#All],[NATUREZA]:[CATEGORIA]],6,FALSE),"")</f>
        <v>Transferência de Saída</v>
      </c>
    </row>
    <row r="34" spans="1:27" ht="15.75" x14ac:dyDescent="0.25">
      <c r="A34">
        <f>IF(Tabela3[[#This Row],[Natureza]]&lt;&gt;"",ROW(Tabela3[[#This Row],[Natureza]])-1)</f>
        <v>33</v>
      </c>
      <c r="B34" s="1"/>
      <c r="C34" s="1"/>
      <c r="D34" s="1"/>
      <c r="E34" s="1"/>
      <c r="F34" s="1"/>
      <c r="G34" s="1"/>
      <c r="H34" s="1" t="s">
        <v>208</v>
      </c>
      <c r="I34" s="2"/>
      <c r="J34" s="1" t="s">
        <v>209</v>
      </c>
      <c r="K34" s="2">
        <v>46265</v>
      </c>
      <c r="L34" s="4">
        <v>66194.179999999993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4">
        <v>66194.179999999993</v>
      </c>
      <c r="S34" s="1" t="s">
        <v>26</v>
      </c>
      <c r="T34" s="2">
        <v>46265</v>
      </c>
      <c r="U34" s="1" t="s">
        <v>27</v>
      </c>
      <c r="V34" s="1" t="s">
        <v>28</v>
      </c>
      <c r="W34" s="1"/>
      <c r="X34" s="1" t="s">
        <v>29</v>
      </c>
      <c r="Y34" s="1" t="s">
        <v>45</v>
      </c>
      <c r="Z34" s="1" t="s">
        <v>404</v>
      </c>
      <c r="AA34" s="1" t="str">
        <f>IFERROR(VLOOKUP(Tabela3[[#This Row],[Natureza]],Tabela4[[#All],[NATUREZA]:[CATEGORIA]],6,FALSE),"")</f>
        <v>Impostos/Tributos e Taxas</v>
      </c>
    </row>
    <row r="35" spans="1:27" ht="15.75" x14ac:dyDescent="0.25">
      <c r="A35">
        <f>IF(Tabela3[[#This Row],[Natureza]]&lt;&gt;"",ROW(Tabela3[[#This Row],[Natureza]])-1)</f>
        <v>34</v>
      </c>
      <c r="B35" s="1"/>
      <c r="C35" s="1"/>
      <c r="D35" s="1"/>
      <c r="E35" s="1"/>
      <c r="F35" s="1"/>
      <c r="G35" s="1"/>
      <c r="H35" s="1" t="s">
        <v>41</v>
      </c>
      <c r="I35" s="2"/>
      <c r="J35" s="1" t="s">
        <v>210</v>
      </c>
      <c r="K35" s="2">
        <v>46265</v>
      </c>
      <c r="L35" s="4">
        <v>29952615.289999999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4">
        <v>29952615.289999999</v>
      </c>
      <c r="S35" s="1" t="s">
        <v>26</v>
      </c>
      <c r="T35" s="2">
        <v>46265</v>
      </c>
      <c r="U35" s="1" t="s">
        <v>27</v>
      </c>
      <c r="V35" s="1" t="s">
        <v>28</v>
      </c>
      <c r="W35" s="1"/>
      <c r="X35" s="1" t="s">
        <v>29</v>
      </c>
      <c r="Y35" s="1" t="s">
        <v>45</v>
      </c>
      <c r="Z35" s="1" t="s">
        <v>404</v>
      </c>
      <c r="AA35" s="1" t="str">
        <f>IFERROR(VLOOKUP(Tabela3[[#This Row],[Natureza]],Tabela4[[#All],[NATUREZA]:[CATEGORIA]],6,FALSE),"")</f>
        <v>Transferência de Saída</v>
      </c>
    </row>
    <row r="36" spans="1:27" ht="15.75" hidden="1" x14ac:dyDescent="0.25">
      <c r="A36">
        <f>IF(Tabela3[[#This Row],[Natureza]]&lt;&gt;"",ROW(Tabela3[[#This Row],[Natureza]])-1)</f>
        <v>35</v>
      </c>
      <c r="B36" s="1"/>
      <c r="C36" s="1"/>
      <c r="D36" s="1"/>
      <c r="E36" s="1"/>
      <c r="F36" s="1"/>
      <c r="G36" s="1"/>
      <c r="H36" s="1" t="s">
        <v>41</v>
      </c>
      <c r="I36" s="2"/>
      <c r="J36" s="1" t="s">
        <v>211</v>
      </c>
      <c r="K36" s="2">
        <v>46266</v>
      </c>
      <c r="L36" s="4">
        <v>8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4">
        <v>8</v>
      </c>
      <c r="S36" s="1" t="s">
        <v>26</v>
      </c>
      <c r="T36" s="2">
        <v>46266</v>
      </c>
      <c r="U36" s="1" t="s">
        <v>27</v>
      </c>
      <c r="V36" s="1" t="s">
        <v>28</v>
      </c>
      <c r="W36" s="1"/>
      <c r="X36" s="1" t="s">
        <v>29</v>
      </c>
      <c r="Y36" s="1" t="s">
        <v>32</v>
      </c>
      <c r="Z36" s="1" t="s">
        <v>404</v>
      </c>
      <c r="AA36" s="1" t="str">
        <f>IFERROR(VLOOKUP(Tabela3[[#This Row],[Natureza]],Tabela4[[#All],[NATUREZA]:[CATEGORIA]],6,FALSE),"")</f>
        <v>Transferência de Saída</v>
      </c>
    </row>
    <row r="37" spans="1:27" ht="15.75" x14ac:dyDescent="0.25">
      <c r="A37">
        <f>IF(Tabela3[[#This Row],[Natureza]]&lt;&gt;"",ROW(Tabela3[[#This Row],[Natureza]])-1)</f>
        <v>36</v>
      </c>
      <c r="B37" s="1"/>
      <c r="C37" s="1"/>
      <c r="D37" s="1"/>
      <c r="E37" s="1"/>
      <c r="F37" s="1"/>
      <c r="G37" s="1"/>
      <c r="H37" s="1" t="s">
        <v>41</v>
      </c>
      <c r="I37" s="2"/>
      <c r="J37" s="1" t="s">
        <v>236</v>
      </c>
      <c r="K37" s="2">
        <v>46267</v>
      </c>
      <c r="L37" s="4">
        <v>133065.84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4">
        <v>133065.84</v>
      </c>
      <c r="S37" s="1" t="s">
        <v>26</v>
      </c>
      <c r="T37" s="2">
        <v>46267</v>
      </c>
      <c r="U37" s="1" t="s">
        <v>27</v>
      </c>
      <c r="V37" s="1" t="s">
        <v>28</v>
      </c>
      <c r="W37" s="1"/>
      <c r="X37" s="1" t="s">
        <v>29</v>
      </c>
      <c r="Y37" s="1" t="s">
        <v>45</v>
      </c>
      <c r="Z37" s="1" t="s">
        <v>404</v>
      </c>
      <c r="AA37" s="1" t="str">
        <f>IFERROR(VLOOKUP(Tabela3[[#This Row],[Natureza]],Tabela4[[#All],[NATUREZA]:[CATEGORIA]],6,FALSE),"")</f>
        <v>Transferência de Saída</v>
      </c>
    </row>
    <row r="38" spans="1:27" ht="15.75" hidden="1" x14ac:dyDescent="0.25">
      <c r="A38">
        <f>IF(Tabela3[[#This Row],[Natureza]]&lt;&gt;"",ROW(Tabela3[[#This Row],[Natureza]])-1)</f>
        <v>37</v>
      </c>
      <c r="B38" s="1"/>
      <c r="C38" s="1"/>
      <c r="D38" s="1"/>
      <c r="E38" s="1"/>
      <c r="F38" s="1"/>
      <c r="G38" s="1"/>
      <c r="H38" s="1" t="s">
        <v>41</v>
      </c>
      <c r="I38" s="2"/>
      <c r="J38" s="1" t="s">
        <v>237</v>
      </c>
      <c r="K38" s="2">
        <v>46268</v>
      </c>
      <c r="L38" s="4">
        <v>4.5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4">
        <v>4.5</v>
      </c>
      <c r="S38" s="1" t="s">
        <v>26</v>
      </c>
      <c r="T38" s="2">
        <v>46268</v>
      </c>
      <c r="U38" s="1" t="s">
        <v>27</v>
      </c>
      <c r="V38" s="1" t="s">
        <v>28</v>
      </c>
      <c r="W38" s="1"/>
      <c r="X38" s="1" t="s">
        <v>29</v>
      </c>
      <c r="Y38" s="1" t="s">
        <v>32</v>
      </c>
      <c r="Z38" s="1" t="s">
        <v>404</v>
      </c>
      <c r="AA38" s="1" t="str">
        <f>IFERROR(VLOOKUP(Tabela3[[#This Row],[Natureza]],Tabela4[[#All],[NATUREZA]:[CATEGORIA]],6,FALSE),"")</f>
        <v>Transferência de Saída</v>
      </c>
    </row>
    <row r="39" spans="1:27" ht="15.75" hidden="1" x14ac:dyDescent="0.25">
      <c r="A39">
        <f>IF(Tabela3[[#This Row],[Natureza]]&lt;&gt;"",ROW(Tabela3[[#This Row],[Natureza]])-1)</f>
        <v>38</v>
      </c>
      <c r="B39" s="1"/>
      <c r="C39" s="1"/>
      <c r="D39" s="1"/>
      <c r="E39" s="1"/>
      <c r="F39" s="1"/>
      <c r="G39" s="1"/>
      <c r="H39" s="1" t="s">
        <v>41</v>
      </c>
      <c r="I39" s="2"/>
      <c r="J39" s="1" t="s">
        <v>239</v>
      </c>
      <c r="K39" s="2">
        <v>46269</v>
      </c>
      <c r="L39" s="4">
        <v>69211.42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4">
        <v>69211.42</v>
      </c>
      <c r="S39" s="1" t="s">
        <v>26</v>
      </c>
      <c r="T39" s="2">
        <v>46269</v>
      </c>
      <c r="U39" s="1" t="s">
        <v>27</v>
      </c>
      <c r="V39" s="1" t="s">
        <v>28</v>
      </c>
      <c r="W39" s="1"/>
      <c r="X39" s="1" t="s">
        <v>29</v>
      </c>
      <c r="Y39" s="1" t="s">
        <v>32</v>
      </c>
      <c r="Z39" s="1" t="s">
        <v>404</v>
      </c>
      <c r="AA39" s="1" t="str">
        <f>IFERROR(VLOOKUP(Tabela3[[#This Row],[Natureza]],Tabela4[[#All],[NATUREZA]:[CATEGORIA]],6,FALSE),"")</f>
        <v>Transferência de Saída</v>
      </c>
    </row>
    <row r="40" spans="1:27" ht="15.75" hidden="1" x14ac:dyDescent="0.25">
      <c r="A40">
        <f>IF(Tabela3[[#This Row],[Natureza]]&lt;&gt;"",ROW(Tabela3[[#This Row],[Natureza]])-1)</f>
        <v>39</v>
      </c>
      <c r="B40" s="1"/>
      <c r="C40" s="1"/>
      <c r="D40" s="1"/>
      <c r="E40" s="1"/>
      <c r="F40" s="1"/>
      <c r="G40" s="1"/>
      <c r="H40" s="1" t="s">
        <v>41</v>
      </c>
      <c r="I40" s="2"/>
      <c r="J40" s="1" t="s">
        <v>255</v>
      </c>
      <c r="K40" s="2">
        <v>46273</v>
      </c>
      <c r="L40" s="4">
        <v>1.5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4">
        <v>1.5</v>
      </c>
      <c r="S40" s="1" t="s">
        <v>26</v>
      </c>
      <c r="T40" s="2">
        <v>46273</v>
      </c>
      <c r="U40" s="1" t="s">
        <v>27</v>
      </c>
      <c r="V40" s="1" t="s">
        <v>28</v>
      </c>
      <c r="W40" s="1"/>
      <c r="X40" s="1" t="s">
        <v>29</v>
      </c>
      <c r="Y40" s="1" t="s">
        <v>32</v>
      </c>
      <c r="Z40" s="1" t="s">
        <v>404</v>
      </c>
      <c r="AA40" s="1" t="str">
        <f>IFERROR(VLOOKUP(Tabela3[[#This Row],[Natureza]],Tabela4[[#All],[NATUREZA]:[CATEGORIA]],6,FALSE),"")</f>
        <v>Transferência de Saída</v>
      </c>
    </row>
    <row r="41" spans="1:27" ht="15.75" x14ac:dyDescent="0.25">
      <c r="A41">
        <f>IF(Tabela3[[#This Row],[Natureza]]&lt;&gt;"",ROW(Tabela3[[#This Row],[Natureza]])-1)</f>
        <v>40</v>
      </c>
      <c r="B41" s="1"/>
      <c r="C41" s="1"/>
      <c r="D41" s="1"/>
      <c r="E41" s="1"/>
      <c r="F41" s="1"/>
      <c r="G41" s="1"/>
      <c r="H41" s="1" t="s">
        <v>41</v>
      </c>
      <c r="I41" s="2"/>
      <c r="J41" s="1" t="s">
        <v>279</v>
      </c>
      <c r="K41" s="2">
        <v>46274</v>
      </c>
      <c r="L41" s="4">
        <v>350085.58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4">
        <v>350085.58</v>
      </c>
      <c r="S41" s="1" t="s">
        <v>26</v>
      </c>
      <c r="T41" s="2">
        <v>46274</v>
      </c>
      <c r="U41" s="1" t="s">
        <v>27</v>
      </c>
      <c r="V41" s="1" t="s">
        <v>28</v>
      </c>
      <c r="W41" s="1"/>
      <c r="X41" s="1" t="s">
        <v>29</v>
      </c>
      <c r="Y41" s="1" t="s">
        <v>45</v>
      </c>
      <c r="Z41" s="1" t="s">
        <v>404</v>
      </c>
      <c r="AA41" s="1" t="str">
        <f>IFERROR(VLOOKUP(Tabela3[[#This Row],[Natureza]],Tabela4[[#All],[NATUREZA]:[CATEGORIA]],6,FALSE),"")</f>
        <v>Transferência de Saída</v>
      </c>
    </row>
    <row r="42" spans="1:27" ht="15.75" hidden="1" x14ac:dyDescent="0.25">
      <c r="A42">
        <f>IF(Tabela3[[#This Row],[Natureza]]&lt;&gt;"",ROW(Tabela3[[#This Row],[Natureza]])-1)</f>
        <v>41</v>
      </c>
      <c r="B42" s="1"/>
      <c r="C42" s="1"/>
      <c r="D42" s="1"/>
      <c r="E42" s="1"/>
      <c r="F42" s="1"/>
      <c r="G42" s="1"/>
      <c r="H42" s="1" t="s">
        <v>41</v>
      </c>
      <c r="I42" s="2"/>
      <c r="J42" s="1" t="s">
        <v>280</v>
      </c>
      <c r="K42" s="2">
        <v>46275</v>
      </c>
      <c r="L42" s="4">
        <v>7.5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4">
        <v>7.5</v>
      </c>
      <c r="S42" s="1" t="s">
        <v>26</v>
      </c>
      <c r="T42" s="2">
        <v>46275</v>
      </c>
      <c r="U42" s="1" t="s">
        <v>27</v>
      </c>
      <c r="V42" s="1" t="s">
        <v>28</v>
      </c>
      <c r="W42" s="1"/>
      <c r="X42" s="1" t="s">
        <v>29</v>
      </c>
      <c r="Y42" s="1" t="s">
        <v>32</v>
      </c>
      <c r="Z42" s="1" t="s">
        <v>404</v>
      </c>
      <c r="AA42" s="1" t="str">
        <f>IFERROR(VLOOKUP(Tabela3[[#This Row],[Natureza]],Tabela4[[#All],[NATUREZA]:[CATEGORIA]],6,FALSE),"")</f>
        <v>Transferência de Saída</v>
      </c>
    </row>
    <row r="43" spans="1:27" ht="15.75" hidden="1" x14ac:dyDescent="0.25">
      <c r="A43">
        <f>IF(Tabela3[[#This Row],[Natureza]]&lt;&gt;"",ROW(Tabela3[[#This Row],[Natureza]])-1)</f>
        <v>42</v>
      </c>
      <c r="B43" s="1"/>
      <c r="C43" s="1"/>
      <c r="D43" s="1"/>
      <c r="E43" s="1"/>
      <c r="F43" s="1"/>
      <c r="G43" s="1"/>
      <c r="H43" s="1" t="s">
        <v>41</v>
      </c>
      <c r="I43" s="2"/>
      <c r="J43" s="1" t="s">
        <v>281</v>
      </c>
      <c r="K43" s="2">
        <v>46276</v>
      </c>
      <c r="L43" s="4">
        <v>100083.61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4">
        <v>100083.61</v>
      </c>
      <c r="S43" s="1" t="s">
        <v>26</v>
      </c>
      <c r="T43" s="2">
        <v>46276</v>
      </c>
      <c r="U43" s="1" t="s">
        <v>27</v>
      </c>
      <c r="V43" s="1" t="s">
        <v>28</v>
      </c>
      <c r="W43" s="1"/>
      <c r="X43" s="1" t="s">
        <v>29</v>
      </c>
      <c r="Y43" s="1" t="s">
        <v>32</v>
      </c>
      <c r="Z43" s="1" t="s">
        <v>404</v>
      </c>
      <c r="AA43" s="1" t="str">
        <f>IFERROR(VLOOKUP(Tabela3[[#This Row],[Natureza]],Tabela4[[#All],[NATUREZA]:[CATEGORIA]],6,FALSE),"")</f>
        <v>Transferência de Saída</v>
      </c>
    </row>
    <row r="44" spans="1:27" ht="15.75" hidden="1" x14ac:dyDescent="0.25">
      <c r="A44">
        <f>IF(Tabela3[[#This Row],[Natureza]]&lt;&gt;"",ROW(Tabela3[[#This Row],[Natureza]])-1)</f>
        <v>43</v>
      </c>
      <c r="B44" s="1"/>
      <c r="C44" s="1"/>
      <c r="D44" s="1"/>
      <c r="E44" s="1"/>
      <c r="F44" s="1"/>
      <c r="G44" s="1"/>
      <c r="H44" s="1" t="s">
        <v>41</v>
      </c>
      <c r="I44" s="2"/>
      <c r="J44" s="1" t="s">
        <v>286</v>
      </c>
      <c r="K44" s="2">
        <v>46279</v>
      </c>
      <c r="L44" s="4">
        <v>100028.77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4">
        <v>100028.77</v>
      </c>
      <c r="S44" s="1" t="s">
        <v>26</v>
      </c>
      <c r="T44" s="2">
        <v>46279</v>
      </c>
      <c r="U44" s="1" t="s">
        <v>27</v>
      </c>
      <c r="V44" s="1" t="s">
        <v>28</v>
      </c>
      <c r="W44" s="1"/>
      <c r="X44" s="1" t="s">
        <v>29</v>
      </c>
      <c r="Y44" s="1" t="s">
        <v>32</v>
      </c>
      <c r="Z44" s="1" t="s">
        <v>404</v>
      </c>
      <c r="AA44" s="1" t="str">
        <f>IFERROR(VLOOKUP(Tabela3[[#This Row],[Natureza]],Tabela4[[#All],[NATUREZA]:[CATEGORIA]],6,FALSE),"")</f>
        <v>Transferência de Saída</v>
      </c>
    </row>
    <row r="45" spans="1:27" ht="15.75" hidden="1" x14ac:dyDescent="0.25">
      <c r="A45">
        <f>IF(Tabela3[[#This Row],[Natureza]]&lt;&gt;"",ROW(Tabela3[[#This Row],[Natureza]])-1)</f>
        <v>44</v>
      </c>
      <c r="B45" s="1"/>
      <c r="C45" s="1"/>
      <c r="D45" s="1"/>
      <c r="E45" s="1"/>
      <c r="F45" s="1"/>
      <c r="G45" s="1"/>
      <c r="H45" s="1" t="s">
        <v>41</v>
      </c>
      <c r="I45" s="2"/>
      <c r="J45" s="1" t="s">
        <v>315</v>
      </c>
      <c r="K45" s="2">
        <v>46279</v>
      </c>
      <c r="L45" s="4">
        <v>8837.83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4">
        <v>8837.83</v>
      </c>
      <c r="S45" s="1" t="s">
        <v>26</v>
      </c>
      <c r="T45" s="2">
        <v>46279</v>
      </c>
      <c r="U45" s="1" t="s">
        <v>27</v>
      </c>
      <c r="V45" s="1" t="s">
        <v>28</v>
      </c>
      <c r="W45" s="1"/>
      <c r="X45" s="1" t="s">
        <v>29</v>
      </c>
      <c r="Y45" s="1" t="s">
        <v>43</v>
      </c>
      <c r="Z45" s="1" t="s">
        <v>404</v>
      </c>
      <c r="AA45" s="1" t="str">
        <f>IFERROR(VLOOKUP(Tabela3[[#This Row],[Natureza]],Tabela4[[#All],[NATUREZA]:[CATEGORIA]],6,FALSE),"")</f>
        <v>Transferência de Saída</v>
      </c>
    </row>
    <row r="46" spans="1:27" ht="15.75" hidden="1" x14ac:dyDescent="0.25">
      <c r="A46">
        <f>IF(Tabela3[[#This Row],[Natureza]]&lt;&gt;"",ROW(Tabela3[[#This Row],[Natureza]])-1)</f>
        <v>45</v>
      </c>
      <c r="B46" s="1"/>
      <c r="C46" s="1"/>
      <c r="D46" s="1"/>
      <c r="E46" s="1"/>
      <c r="F46" s="1"/>
      <c r="G46" s="1"/>
      <c r="H46" s="1" t="s">
        <v>41</v>
      </c>
      <c r="I46" s="2"/>
      <c r="J46" s="1" t="s">
        <v>316</v>
      </c>
      <c r="K46" s="2">
        <v>46280</v>
      </c>
      <c r="L46" s="4">
        <v>5.2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4">
        <v>5.2</v>
      </c>
      <c r="S46" s="1" t="s">
        <v>26</v>
      </c>
      <c r="T46" s="2">
        <v>46280</v>
      </c>
      <c r="U46" s="1" t="s">
        <v>27</v>
      </c>
      <c r="V46" s="1" t="s">
        <v>28</v>
      </c>
      <c r="W46" s="1"/>
      <c r="X46" s="1" t="s">
        <v>29</v>
      </c>
      <c r="Y46" s="1" t="s">
        <v>32</v>
      </c>
      <c r="Z46" s="1" t="s">
        <v>404</v>
      </c>
      <c r="AA46" s="1" t="str">
        <f>IFERROR(VLOOKUP(Tabela3[[#This Row],[Natureza]],Tabela4[[#All],[NATUREZA]:[CATEGORIA]],6,FALSE),"")</f>
        <v>Transferência de Saída</v>
      </c>
    </row>
    <row r="47" spans="1:27" ht="15.75" hidden="1" x14ac:dyDescent="0.25">
      <c r="A47">
        <f>IF(Tabela3[[#This Row],[Natureza]]&lt;&gt;"",ROW(Tabela3[[#This Row],[Natureza]])-1)</f>
        <v>46</v>
      </c>
      <c r="B47" s="1"/>
      <c r="C47" s="1"/>
      <c r="D47" s="1"/>
      <c r="E47" s="1"/>
      <c r="F47" s="1"/>
      <c r="G47" s="1"/>
      <c r="H47" s="1" t="s">
        <v>41</v>
      </c>
      <c r="I47" s="2"/>
      <c r="J47" s="1" t="s">
        <v>318</v>
      </c>
      <c r="K47" s="2">
        <v>46281</v>
      </c>
      <c r="L47" s="4">
        <v>60919.1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4">
        <v>60919.1</v>
      </c>
      <c r="S47" s="1" t="s">
        <v>26</v>
      </c>
      <c r="T47" s="2">
        <v>46281</v>
      </c>
      <c r="U47" s="1" t="s">
        <v>27</v>
      </c>
      <c r="V47" s="1" t="s">
        <v>28</v>
      </c>
      <c r="W47" s="1"/>
      <c r="X47" s="1" t="s">
        <v>29</v>
      </c>
      <c r="Y47" s="1" t="s">
        <v>32</v>
      </c>
      <c r="Z47" s="1" t="s">
        <v>404</v>
      </c>
      <c r="AA47" s="1" t="str">
        <f>IFERROR(VLOOKUP(Tabela3[[#This Row],[Natureza]],Tabela4[[#All],[NATUREZA]:[CATEGORIA]],6,FALSE),"")</f>
        <v>Transferência de Saída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tabSelected="1" workbookViewId="0">
      <selection activeCell="G50" sqref="G50"/>
    </sheetView>
  </sheetViews>
  <sheetFormatPr defaultColWidth="8.7109375" defaultRowHeight="15" x14ac:dyDescent="0.25"/>
  <cols>
    <col min="1" max="1" width="14.42578125" customWidth="1"/>
    <col min="2" max="2" width="46.28515625" bestFit="1" customWidth="1"/>
    <col min="3" max="3" width="16.140625" bestFit="1" customWidth="1"/>
    <col min="4" max="4" width="10.85546875" bestFit="1" customWidth="1"/>
    <col min="5" max="5" width="30.42578125" customWidth="1"/>
    <col min="6" max="6" width="29.85546875" bestFit="1" customWidth="1"/>
    <col min="7" max="7" width="28.85546875" customWidth="1"/>
  </cols>
  <sheetData>
    <row r="1" spans="1:7" ht="15.75" thickBot="1" x14ac:dyDescent="0.3">
      <c r="A1" s="7" t="s">
        <v>406</v>
      </c>
      <c r="B1" s="7" t="s">
        <v>407</v>
      </c>
      <c r="C1" s="7" t="s">
        <v>402</v>
      </c>
      <c r="D1" s="7" t="s">
        <v>403</v>
      </c>
      <c r="E1" s="7" t="s">
        <v>421</v>
      </c>
      <c r="F1" s="7" t="s">
        <v>430</v>
      </c>
      <c r="G1" s="11" t="s">
        <v>463</v>
      </c>
    </row>
    <row r="2" spans="1:7" hidden="1" x14ac:dyDescent="0.25">
      <c r="A2" s="8" t="s">
        <v>59</v>
      </c>
      <c r="B2" s="8" t="s">
        <v>444</v>
      </c>
      <c r="C2" s="8" t="s">
        <v>408</v>
      </c>
      <c r="D2" s="8" t="s">
        <v>404</v>
      </c>
      <c r="E2" s="8" t="s">
        <v>422</v>
      </c>
      <c r="F2" s="9" t="s">
        <v>466</v>
      </c>
      <c r="G2" t="s">
        <v>469</v>
      </c>
    </row>
    <row r="3" spans="1:7" hidden="1" x14ac:dyDescent="0.25">
      <c r="A3" s="12" t="s">
        <v>475</v>
      </c>
      <c r="B3" s="8" t="s">
        <v>42</v>
      </c>
      <c r="C3" s="8" t="s">
        <v>409</v>
      </c>
      <c r="D3" s="8" t="s">
        <v>404</v>
      </c>
      <c r="E3" s="8" t="s">
        <v>422</v>
      </c>
      <c r="F3" s="8" t="s">
        <v>484</v>
      </c>
      <c r="G3" t="s">
        <v>471</v>
      </c>
    </row>
    <row r="4" spans="1:7" hidden="1" x14ac:dyDescent="0.25">
      <c r="A4" s="12" t="s">
        <v>482</v>
      </c>
      <c r="B4" s="8" t="s">
        <v>51</v>
      </c>
      <c r="C4" s="8" t="s">
        <v>409</v>
      </c>
      <c r="D4" s="8" t="s">
        <v>405</v>
      </c>
      <c r="E4" s="8" t="s">
        <v>409</v>
      </c>
      <c r="F4" s="8" t="s">
        <v>481</v>
      </c>
      <c r="G4" t="s">
        <v>443</v>
      </c>
    </row>
    <row r="5" spans="1:7" hidden="1" x14ac:dyDescent="0.25">
      <c r="A5" s="8" t="s">
        <v>77</v>
      </c>
      <c r="B5" s="8" t="s">
        <v>445</v>
      </c>
      <c r="C5" s="8" t="s">
        <v>410</v>
      </c>
      <c r="D5" s="8" t="s">
        <v>404</v>
      </c>
      <c r="E5" s="8" t="s">
        <v>415</v>
      </c>
      <c r="F5" s="8" t="s">
        <v>432</v>
      </c>
      <c r="G5" t="s">
        <v>469</v>
      </c>
    </row>
    <row r="6" spans="1:7" hidden="1" x14ac:dyDescent="0.25">
      <c r="A6" s="8" t="s">
        <v>84</v>
      </c>
      <c r="B6" s="8" t="s">
        <v>411</v>
      </c>
      <c r="C6" s="8" t="s">
        <v>488</v>
      </c>
      <c r="D6" s="8" t="s">
        <v>404</v>
      </c>
      <c r="E6" s="8" t="s">
        <v>415</v>
      </c>
      <c r="F6" s="8" t="s">
        <v>433</v>
      </c>
      <c r="G6" t="s">
        <v>469</v>
      </c>
    </row>
    <row r="7" spans="1:7" hidden="1" x14ac:dyDescent="0.25">
      <c r="A7" s="8" t="s">
        <v>90</v>
      </c>
      <c r="B7" s="8" t="s">
        <v>412</v>
      </c>
      <c r="C7" s="8" t="s">
        <v>413</v>
      </c>
      <c r="D7" s="8" t="s">
        <v>404</v>
      </c>
      <c r="E7" s="8" t="s">
        <v>415</v>
      </c>
      <c r="F7" s="8" t="s">
        <v>435</v>
      </c>
      <c r="G7" t="s">
        <v>469</v>
      </c>
    </row>
    <row r="8" spans="1:7" hidden="1" x14ac:dyDescent="0.25">
      <c r="A8" s="8" t="s">
        <v>95</v>
      </c>
      <c r="B8" s="8" t="s">
        <v>446</v>
      </c>
      <c r="C8" s="8" t="s">
        <v>410</v>
      </c>
      <c r="D8" s="8" t="s">
        <v>404</v>
      </c>
      <c r="E8" s="8" t="s">
        <v>415</v>
      </c>
      <c r="F8" s="8" t="s">
        <v>435</v>
      </c>
      <c r="G8" t="s">
        <v>469</v>
      </c>
    </row>
    <row r="9" spans="1:7" hidden="1" x14ac:dyDescent="0.25">
      <c r="A9" s="8" t="s">
        <v>102</v>
      </c>
      <c r="B9" s="8" t="s">
        <v>414</v>
      </c>
      <c r="C9" s="8" t="s">
        <v>409</v>
      </c>
      <c r="D9" s="8" t="s">
        <v>404</v>
      </c>
      <c r="E9" s="8" t="s">
        <v>415</v>
      </c>
      <c r="F9" s="8" t="s">
        <v>436</v>
      </c>
      <c r="G9" t="s">
        <v>469</v>
      </c>
    </row>
    <row r="10" spans="1:7" hidden="1" x14ac:dyDescent="0.25">
      <c r="A10" s="8" t="s">
        <v>108</v>
      </c>
      <c r="B10" s="8" t="s">
        <v>447</v>
      </c>
      <c r="C10" s="8" t="s">
        <v>417</v>
      </c>
      <c r="D10" s="8" t="s">
        <v>404</v>
      </c>
      <c r="E10" s="8" t="s">
        <v>415</v>
      </c>
      <c r="F10" s="8" t="s">
        <v>435</v>
      </c>
      <c r="G10" t="s">
        <v>469</v>
      </c>
    </row>
    <row r="11" spans="1:7" hidden="1" x14ac:dyDescent="0.25">
      <c r="A11" s="8" t="s">
        <v>116</v>
      </c>
      <c r="B11" s="8" t="s">
        <v>416</v>
      </c>
      <c r="C11" s="8" t="s">
        <v>413</v>
      </c>
      <c r="D11" s="8" t="s">
        <v>404</v>
      </c>
      <c r="E11" s="8" t="s">
        <v>415</v>
      </c>
      <c r="F11" s="8" t="s">
        <v>434</v>
      </c>
      <c r="G11" t="s">
        <v>469</v>
      </c>
    </row>
    <row r="12" spans="1:7" hidden="1" x14ac:dyDescent="0.25">
      <c r="A12" s="8" t="s">
        <v>126</v>
      </c>
      <c r="B12" s="8" t="s">
        <v>448</v>
      </c>
      <c r="C12" s="8" t="s">
        <v>417</v>
      </c>
      <c r="D12" s="8" t="s">
        <v>404</v>
      </c>
      <c r="E12" s="8" t="s">
        <v>415</v>
      </c>
      <c r="F12" s="8" t="s">
        <v>438</v>
      </c>
      <c r="G12" t="s">
        <v>469</v>
      </c>
    </row>
    <row r="13" spans="1:7" hidden="1" x14ac:dyDescent="0.25">
      <c r="A13" s="8" t="s">
        <v>136</v>
      </c>
      <c r="B13" s="8" t="s">
        <v>449</v>
      </c>
      <c r="C13" s="8" t="s">
        <v>410</v>
      </c>
      <c r="D13" s="8" t="s">
        <v>404</v>
      </c>
      <c r="E13" s="8" t="s">
        <v>415</v>
      </c>
      <c r="F13" s="8" t="s">
        <v>437</v>
      </c>
      <c r="G13" t="s">
        <v>469</v>
      </c>
    </row>
    <row r="14" spans="1:7" hidden="1" x14ac:dyDescent="0.25">
      <c r="A14" s="8" t="s">
        <v>153</v>
      </c>
      <c r="B14" s="8" t="s">
        <v>450</v>
      </c>
      <c r="C14" s="8" t="s">
        <v>417</v>
      </c>
      <c r="D14" s="8" t="s">
        <v>404</v>
      </c>
      <c r="E14" s="8" t="s">
        <v>415</v>
      </c>
      <c r="F14" s="8" t="s">
        <v>431</v>
      </c>
      <c r="G14" t="s">
        <v>469</v>
      </c>
    </row>
    <row r="15" spans="1:7" hidden="1" x14ac:dyDescent="0.25">
      <c r="A15" s="8" t="s">
        <v>174</v>
      </c>
      <c r="B15" s="8" t="s">
        <v>451</v>
      </c>
      <c r="C15" s="8" t="s">
        <v>410</v>
      </c>
      <c r="D15" s="8" t="s">
        <v>404</v>
      </c>
      <c r="E15" s="8" t="s">
        <v>415</v>
      </c>
      <c r="F15" s="8" t="s">
        <v>432</v>
      </c>
      <c r="G15" t="s">
        <v>469</v>
      </c>
    </row>
    <row r="16" spans="1:7" hidden="1" x14ac:dyDescent="0.25">
      <c r="A16" s="8" t="s">
        <v>184</v>
      </c>
      <c r="B16" s="8" t="s">
        <v>398</v>
      </c>
      <c r="C16" s="8" t="s">
        <v>410</v>
      </c>
      <c r="D16" s="8" t="s">
        <v>404</v>
      </c>
      <c r="E16" s="8" t="s">
        <v>415</v>
      </c>
      <c r="F16" s="8" t="s">
        <v>439</v>
      </c>
      <c r="G16" t="s">
        <v>469</v>
      </c>
    </row>
    <row r="17" spans="1:7" hidden="1" x14ac:dyDescent="0.25">
      <c r="A17" s="12" t="s">
        <v>474</v>
      </c>
      <c r="B17" s="8" t="s">
        <v>48</v>
      </c>
      <c r="C17" s="8" t="s">
        <v>409</v>
      </c>
      <c r="D17" s="8" t="s">
        <v>404</v>
      </c>
      <c r="E17" s="8" t="s">
        <v>422</v>
      </c>
      <c r="F17" s="8" t="s">
        <v>485</v>
      </c>
      <c r="G17" t="s">
        <v>471</v>
      </c>
    </row>
    <row r="18" spans="1:7" hidden="1" x14ac:dyDescent="0.25">
      <c r="A18" s="8" t="s">
        <v>216</v>
      </c>
      <c r="B18" s="8" t="s">
        <v>452</v>
      </c>
      <c r="C18" s="8" t="s">
        <v>410</v>
      </c>
      <c r="D18" s="8" t="s">
        <v>404</v>
      </c>
      <c r="E18" s="8" t="s">
        <v>415</v>
      </c>
      <c r="F18" s="8" t="s">
        <v>440</v>
      </c>
      <c r="G18" t="s">
        <v>469</v>
      </c>
    </row>
    <row r="19" spans="1:7" hidden="1" x14ac:dyDescent="0.25">
      <c r="A19" s="8" t="s">
        <v>221</v>
      </c>
      <c r="B19" s="8" t="s">
        <v>453</v>
      </c>
      <c r="C19" s="8" t="s">
        <v>410</v>
      </c>
      <c r="D19" s="8" t="s">
        <v>404</v>
      </c>
      <c r="E19" s="8" t="s">
        <v>415</v>
      </c>
      <c r="F19" s="8" t="s">
        <v>436</v>
      </c>
      <c r="G19" t="s">
        <v>469</v>
      </c>
    </row>
    <row r="20" spans="1:7" hidden="1" x14ac:dyDescent="0.25">
      <c r="A20" s="8" t="s">
        <v>227</v>
      </c>
      <c r="B20" s="8" t="s">
        <v>226</v>
      </c>
      <c r="C20" s="8" t="s">
        <v>413</v>
      </c>
      <c r="D20" s="8" t="s">
        <v>404</v>
      </c>
      <c r="E20" s="8" t="s">
        <v>415</v>
      </c>
      <c r="F20" s="8" t="s">
        <v>434</v>
      </c>
      <c r="G20" t="s">
        <v>469</v>
      </c>
    </row>
    <row r="21" spans="1:7" hidden="1" x14ac:dyDescent="0.25">
      <c r="A21" s="8" t="s">
        <v>234</v>
      </c>
      <c r="B21" s="8" t="s">
        <v>399</v>
      </c>
      <c r="C21" s="8" t="s">
        <v>419</v>
      </c>
      <c r="D21" s="8" t="s">
        <v>404</v>
      </c>
      <c r="E21" s="8" t="s">
        <v>15</v>
      </c>
      <c r="F21" s="8" t="s">
        <v>431</v>
      </c>
      <c r="G21" t="s">
        <v>469</v>
      </c>
    </row>
    <row r="22" spans="1:7" hidden="1" x14ac:dyDescent="0.25">
      <c r="A22" s="8" t="s">
        <v>243</v>
      </c>
      <c r="B22" s="8" t="s">
        <v>454</v>
      </c>
      <c r="C22" s="8" t="s">
        <v>410</v>
      </c>
      <c r="D22" s="8" t="s">
        <v>404</v>
      </c>
      <c r="E22" s="8" t="s">
        <v>415</v>
      </c>
      <c r="F22" s="8" t="s">
        <v>440</v>
      </c>
      <c r="G22" t="s">
        <v>469</v>
      </c>
    </row>
    <row r="23" spans="1:7" hidden="1" x14ac:dyDescent="0.25">
      <c r="A23" s="8" t="s">
        <v>248</v>
      </c>
      <c r="B23" s="8" t="s">
        <v>455</v>
      </c>
      <c r="C23" s="8" t="s">
        <v>409</v>
      </c>
      <c r="D23" s="8" t="s">
        <v>404</v>
      </c>
      <c r="E23" s="8" t="s">
        <v>415</v>
      </c>
      <c r="F23" s="8" t="s">
        <v>435</v>
      </c>
      <c r="G23" t="s">
        <v>469</v>
      </c>
    </row>
    <row r="24" spans="1:7" hidden="1" x14ac:dyDescent="0.25">
      <c r="A24" s="8" t="s">
        <v>254</v>
      </c>
      <c r="B24" s="8" t="s">
        <v>456</v>
      </c>
      <c r="C24" s="8" t="s">
        <v>417</v>
      </c>
      <c r="D24" s="8" t="s">
        <v>404</v>
      </c>
      <c r="E24" s="8" t="s">
        <v>415</v>
      </c>
      <c r="F24" s="8" t="s">
        <v>441</v>
      </c>
      <c r="G24" t="s">
        <v>469</v>
      </c>
    </row>
    <row r="25" spans="1:7" hidden="1" x14ac:dyDescent="0.25">
      <c r="A25" s="8" t="s">
        <v>259</v>
      </c>
      <c r="B25" s="8" t="s">
        <v>457</v>
      </c>
      <c r="C25" s="8" t="s">
        <v>417</v>
      </c>
      <c r="D25" s="8" t="s">
        <v>404</v>
      </c>
      <c r="E25" s="8" t="s">
        <v>415</v>
      </c>
      <c r="F25" s="8" t="s">
        <v>435</v>
      </c>
      <c r="G25" t="s">
        <v>469</v>
      </c>
    </row>
    <row r="26" spans="1:7" hidden="1" x14ac:dyDescent="0.25">
      <c r="A26" s="8" t="s">
        <v>262</v>
      </c>
      <c r="B26" s="8" t="s">
        <v>458</v>
      </c>
      <c r="C26" s="8" t="s">
        <v>410</v>
      </c>
      <c r="D26" s="8" t="s">
        <v>404</v>
      </c>
      <c r="E26" s="8" t="s">
        <v>415</v>
      </c>
      <c r="F26" s="8" t="s">
        <v>439</v>
      </c>
      <c r="G26" t="s">
        <v>469</v>
      </c>
    </row>
    <row r="27" spans="1:7" hidden="1" x14ac:dyDescent="0.25">
      <c r="A27" s="8" t="s">
        <v>268</v>
      </c>
      <c r="B27" s="8" t="s">
        <v>424</v>
      </c>
      <c r="C27" s="8" t="s">
        <v>425</v>
      </c>
      <c r="D27" s="8" t="s">
        <v>404</v>
      </c>
      <c r="E27" s="8" t="s">
        <v>415</v>
      </c>
      <c r="F27" s="8" t="s">
        <v>441</v>
      </c>
      <c r="G27" t="s">
        <v>469</v>
      </c>
    </row>
    <row r="28" spans="1:7" hidden="1" x14ac:dyDescent="0.25">
      <c r="A28" s="8" t="s">
        <v>272</v>
      </c>
      <c r="B28" s="8" t="s">
        <v>459</v>
      </c>
      <c r="C28" s="8" t="s">
        <v>410</v>
      </c>
      <c r="D28" s="8" t="s">
        <v>404</v>
      </c>
      <c r="E28" s="8" t="s">
        <v>415</v>
      </c>
      <c r="F28" s="8" t="s">
        <v>442</v>
      </c>
      <c r="G28" t="s">
        <v>469</v>
      </c>
    </row>
    <row r="29" spans="1:7" hidden="1" x14ac:dyDescent="0.25">
      <c r="A29" s="8" t="s">
        <v>297</v>
      </c>
      <c r="B29" s="8" t="s">
        <v>426</v>
      </c>
      <c r="C29" s="8" t="s">
        <v>410</v>
      </c>
      <c r="D29" s="8" t="s">
        <v>404</v>
      </c>
      <c r="E29" s="8" t="s">
        <v>415</v>
      </c>
      <c r="F29" s="8" t="s">
        <v>441</v>
      </c>
      <c r="G29" t="s">
        <v>469</v>
      </c>
    </row>
    <row r="30" spans="1:7" hidden="1" x14ac:dyDescent="0.25">
      <c r="A30" s="8" t="s">
        <v>301</v>
      </c>
      <c r="B30" s="8" t="s">
        <v>460</v>
      </c>
      <c r="C30" s="8" t="s">
        <v>417</v>
      </c>
      <c r="D30" s="8" t="s">
        <v>404</v>
      </c>
      <c r="E30" s="8" t="s">
        <v>415</v>
      </c>
      <c r="F30" s="8" t="s">
        <v>441</v>
      </c>
      <c r="G30" t="s">
        <v>469</v>
      </c>
    </row>
    <row r="31" spans="1:7" hidden="1" x14ac:dyDescent="0.25">
      <c r="A31" s="8" t="s">
        <v>303</v>
      </c>
      <c r="B31" s="8" t="s">
        <v>427</v>
      </c>
      <c r="C31" s="8" t="s">
        <v>425</v>
      </c>
      <c r="D31" s="8" t="s">
        <v>404</v>
      </c>
      <c r="E31" s="8" t="s">
        <v>415</v>
      </c>
      <c r="F31" s="8" t="s">
        <v>441</v>
      </c>
      <c r="G31" t="s">
        <v>469</v>
      </c>
    </row>
    <row r="32" spans="1:7" hidden="1" x14ac:dyDescent="0.25">
      <c r="A32" s="8" t="s">
        <v>305</v>
      </c>
      <c r="B32" s="8" t="s">
        <v>428</v>
      </c>
      <c r="C32" s="8" t="s">
        <v>428</v>
      </c>
      <c r="D32" s="8" t="s">
        <v>404</v>
      </c>
      <c r="E32" s="8" t="s">
        <v>415</v>
      </c>
      <c r="F32" s="8" t="s">
        <v>441</v>
      </c>
      <c r="G32" t="s">
        <v>469</v>
      </c>
    </row>
    <row r="33" spans="1:7" hidden="1" x14ac:dyDescent="0.25">
      <c r="A33" s="8" t="s">
        <v>307</v>
      </c>
      <c r="B33" s="8" t="s">
        <v>429</v>
      </c>
      <c r="C33" s="8" t="s">
        <v>425</v>
      </c>
      <c r="D33" s="8" t="s">
        <v>404</v>
      </c>
      <c r="E33" s="8" t="s">
        <v>415</v>
      </c>
      <c r="F33" s="8" t="s">
        <v>441</v>
      </c>
      <c r="G33" t="s">
        <v>469</v>
      </c>
    </row>
    <row r="34" spans="1:7" hidden="1" x14ac:dyDescent="0.25">
      <c r="A34" s="8" t="s">
        <v>373</v>
      </c>
      <c r="B34" s="8" t="s">
        <v>423</v>
      </c>
      <c r="C34" s="8" t="s">
        <v>413</v>
      </c>
      <c r="D34" s="8" t="s">
        <v>404</v>
      </c>
      <c r="E34" s="8" t="s">
        <v>423</v>
      </c>
      <c r="F34" s="8" t="s">
        <v>434</v>
      </c>
      <c r="G34" t="s">
        <v>469</v>
      </c>
    </row>
    <row r="35" spans="1:7" hidden="1" x14ac:dyDescent="0.25">
      <c r="A35" s="8" t="s">
        <v>388</v>
      </c>
      <c r="B35" s="8" t="s">
        <v>400</v>
      </c>
      <c r="C35" s="8" t="s">
        <v>419</v>
      </c>
      <c r="D35" s="8" t="s">
        <v>404</v>
      </c>
      <c r="E35" s="8" t="s">
        <v>15</v>
      </c>
      <c r="F35" s="8" t="s">
        <v>431</v>
      </c>
      <c r="G35" t="s">
        <v>469</v>
      </c>
    </row>
    <row r="36" spans="1:7" hidden="1" x14ac:dyDescent="0.25">
      <c r="A36" s="8" t="s">
        <v>391</v>
      </c>
      <c r="B36" s="8" t="s">
        <v>401</v>
      </c>
      <c r="C36" s="8" t="s">
        <v>419</v>
      </c>
      <c r="D36" s="8" t="s">
        <v>404</v>
      </c>
      <c r="E36" s="8" t="s">
        <v>15</v>
      </c>
      <c r="F36" s="8" t="s">
        <v>431</v>
      </c>
      <c r="G36" t="s">
        <v>469</v>
      </c>
    </row>
    <row r="37" spans="1:7" ht="15.75" hidden="1" x14ac:dyDescent="0.25">
      <c r="A37" s="12" t="s">
        <v>473</v>
      </c>
      <c r="B37" s="1" t="s">
        <v>31</v>
      </c>
      <c r="C37" s="8" t="s">
        <v>409</v>
      </c>
      <c r="D37" s="8" t="s">
        <v>404</v>
      </c>
      <c r="E37" s="8" t="s">
        <v>422</v>
      </c>
      <c r="F37" s="1" t="s">
        <v>486</v>
      </c>
      <c r="G37" t="s">
        <v>471</v>
      </c>
    </row>
    <row r="38" spans="1:7" hidden="1" x14ac:dyDescent="0.25">
      <c r="A38" s="8" t="s">
        <v>39</v>
      </c>
      <c r="B38" s="8" t="s">
        <v>420</v>
      </c>
      <c r="C38" s="8" t="s">
        <v>409</v>
      </c>
      <c r="D38" s="8" t="s">
        <v>405</v>
      </c>
      <c r="E38" s="8" t="s">
        <v>415</v>
      </c>
      <c r="F38" s="8" t="s">
        <v>443</v>
      </c>
      <c r="G38" t="s">
        <v>443</v>
      </c>
    </row>
    <row r="39" spans="1:7" hidden="1" x14ac:dyDescent="0.25">
      <c r="A39" s="8" t="s">
        <v>46</v>
      </c>
      <c r="B39" s="8" t="s">
        <v>461</v>
      </c>
      <c r="C39" s="8" t="s">
        <v>409</v>
      </c>
      <c r="D39" s="8" t="s">
        <v>405</v>
      </c>
      <c r="E39" s="8" t="s">
        <v>409</v>
      </c>
      <c r="F39" s="8" t="s">
        <v>443</v>
      </c>
      <c r="G39" t="s">
        <v>443</v>
      </c>
    </row>
    <row r="40" spans="1:7" hidden="1" x14ac:dyDescent="0.25">
      <c r="A40" s="8" t="s">
        <v>50</v>
      </c>
      <c r="B40" s="8" t="s">
        <v>161</v>
      </c>
      <c r="C40" s="8" t="s">
        <v>409</v>
      </c>
      <c r="D40" s="8" t="s">
        <v>404</v>
      </c>
      <c r="E40" s="8" t="s">
        <v>409</v>
      </c>
      <c r="F40" s="8" t="s">
        <v>431</v>
      </c>
      <c r="G40" t="s">
        <v>469</v>
      </c>
    </row>
    <row r="41" spans="1:7" hidden="1" x14ac:dyDescent="0.25">
      <c r="A41" s="8" t="s">
        <v>208</v>
      </c>
      <c r="B41" s="8" t="s">
        <v>418</v>
      </c>
      <c r="C41" s="8" t="s">
        <v>419</v>
      </c>
      <c r="D41" s="8" t="s">
        <v>404</v>
      </c>
      <c r="E41" s="8" t="s">
        <v>15</v>
      </c>
      <c r="F41" s="8" t="s">
        <v>431</v>
      </c>
      <c r="G41" t="s">
        <v>471</v>
      </c>
    </row>
    <row r="42" spans="1:7" hidden="1" x14ac:dyDescent="0.25">
      <c r="A42" s="12" t="s">
        <v>477</v>
      </c>
      <c r="B42" s="8" t="s">
        <v>467</v>
      </c>
      <c r="C42" s="8" t="s">
        <v>409</v>
      </c>
      <c r="D42" s="8" t="s">
        <v>405</v>
      </c>
      <c r="E42" s="8" t="s">
        <v>422</v>
      </c>
      <c r="F42" s="8" t="s">
        <v>485</v>
      </c>
      <c r="G42" t="s">
        <v>471</v>
      </c>
    </row>
    <row r="43" spans="1:7" x14ac:dyDescent="0.25">
      <c r="A43" s="12" t="s">
        <v>41</v>
      </c>
      <c r="B43" s="8" t="s">
        <v>472</v>
      </c>
      <c r="C43" s="8" t="s">
        <v>409</v>
      </c>
      <c r="D43" s="8" t="s">
        <v>404</v>
      </c>
      <c r="E43" s="8" t="s">
        <v>422</v>
      </c>
      <c r="F43" s="9" t="s">
        <v>465</v>
      </c>
      <c r="G43" t="s">
        <v>469</v>
      </c>
    </row>
    <row r="44" spans="1:7" hidden="1" x14ac:dyDescent="0.25">
      <c r="A44" s="12" t="s">
        <v>476</v>
      </c>
      <c r="B44" s="8" t="s">
        <v>479</v>
      </c>
      <c r="C44" s="8" t="s">
        <v>409</v>
      </c>
      <c r="D44" s="8" t="s">
        <v>405</v>
      </c>
      <c r="E44" s="8" t="s">
        <v>422</v>
      </c>
      <c r="F44" s="8" t="s">
        <v>486</v>
      </c>
      <c r="G44" t="s">
        <v>471</v>
      </c>
    </row>
    <row r="45" spans="1:7" hidden="1" x14ac:dyDescent="0.25">
      <c r="A45" s="12" t="s">
        <v>478</v>
      </c>
      <c r="B45" s="8" t="s">
        <v>468</v>
      </c>
      <c r="C45" s="8" t="s">
        <v>409</v>
      </c>
      <c r="D45" s="8" t="s">
        <v>405</v>
      </c>
      <c r="E45" s="8" t="s">
        <v>422</v>
      </c>
      <c r="F45" s="8" t="s">
        <v>485</v>
      </c>
      <c r="G45" t="s">
        <v>471</v>
      </c>
    </row>
    <row r="46" spans="1:7" x14ac:dyDescent="0.25">
      <c r="A46" s="12" t="s">
        <v>24</v>
      </c>
      <c r="B46" s="8" t="s">
        <v>472</v>
      </c>
      <c r="C46" s="8" t="s">
        <v>409</v>
      </c>
      <c r="D46" s="8" t="s">
        <v>405</v>
      </c>
      <c r="E46" s="8" t="s">
        <v>422</v>
      </c>
      <c r="F46" s="9" t="s">
        <v>464</v>
      </c>
      <c r="G46" t="s">
        <v>443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C791-91AC-46EB-8703-8CFE4915F091}">
  <dimension ref="A1:C20"/>
  <sheetViews>
    <sheetView workbookViewId="0">
      <selection activeCell="F28" sqref="F28"/>
    </sheetView>
  </sheetViews>
  <sheetFormatPr defaultRowHeight="15" x14ac:dyDescent="0.25"/>
  <cols>
    <col min="1" max="1" width="29.85546875" bestFit="1" customWidth="1"/>
    <col min="2" max="2" width="27.28515625" bestFit="1" customWidth="1"/>
    <col min="3" max="3" width="14.28515625" bestFit="1" customWidth="1"/>
  </cols>
  <sheetData>
    <row r="1" spans="1:3" ht="15.75" thickBot="1" x14ac:dyDescent="0.3">
      <c r="A1" s="7" t="s">
        <v>430</v>
      </c>
      <c r="B1" s="11" t="s">
        <v>463</v>
      </c>
    </row>
    <row r="2" spans="1:3" x14ac:dyDescent="0.25">
      <c r="A2" s="8" t="s">
        <v>432</v>
      </c>
      <c r="B2" t="s">
        <v>469</v>
      </c>
    </row>
    <row r="3" spans="1:3" x14ac:dyDescent="0.25">
      <c r="A3" s="8" t="s">
        <v>42</v>
      </c>
      <c r="B3" t="s">
        <v>471</v>
      </c>
    </row>
    <row r="4" spans="1:3" x14ac:dyDescent="0.25">
      <c r="A4" s="8" t="s">
        <v>48</v>
      </c>
      <c r="B4" t="s">
        <v>471</v>
      </c>
    </row>
    <row r="5" spans="1:3" x14ac:dyDescent="0.25">
      <c r="A5" s="8" t="s">
        <v>31</v>
      </c>
      <c r="B5" t="s">
        <v>471</v>
      </c>
    </row>
    <row r="6" spans="1:3" x14ac:dyDescent="0.25">
      <c r="A6" s="9" t="s">
        <v>466</v>
      </c>
      <c r="B6" t="s">
        <v>469</v>
      </c>
    </row>
    <row r="7" spans="1:3" x14ac:dyDescent="0.25">
      <c r="A7" s="8" t="s">
        <v>443</v>
      </c>
      <c r="B7" t="s">
        <v>443</v>
      </c>
    </row>
    <row r="8" spans="1:3" x14ac:dyDescent="0.25">
      <c r="A8" s="8" t="s">
        <v>442</v>
      </c>
      <c r="B8" t="s">
        <v>469</v>
      </c>
    </row>
    <row r="9" spans="1:3" x14ac:dyDescent="0.25">
      <c r="A9" s="8" t="s">
        <v>434</v>
      </c>
      <c r="B9" t="s">
        <v>469</v>
      </c>
    </row>
    <row r="10" spans="1:3" x14ac:dyDescent="0.25">
      <c r="A10" s="8" t="s">
        <v>431</v>
      </c>
      <c r="B10" t="s">
        <v>443</v>
      </c>
      <c r="C10" s="5"/>
    </row>
    <row r="11" spans="1:3" x14ac:dyDescent="0.25">
      <c r="A11" s="8" t="s">
        <v>440</v>
      </c>
      <c r="B11" t="s">
        <v>469</v>
      </c>
      <c r="C11" s="13"/>
    </row>
    <row r="12" spans="1:3" x14ac:dyDescent="0.25">
      <c r="A12" s="8" t="s">
        <v>438</v>
      </c>
      <c r="B12" t="s">
        <v>469</v>
      </c>
      <c r="C12" s="14"/>
    </row>
    <row r="13" spans="1:3" x14ac:dyDescent="0.25">
      <c r="A13" s="8" t="s">
        <v>441</v>
      </c>
      <c r="B13" t="s">
        <v>469</v>
      </c>
    </row>
    <row r="14" spans="1:3" x14ac:dyDescent="0.25">
      <c r="A14" s="8" t="s">
        <v>436</v>
      </c>
      <c r="B14" t="s">
        <v>469</v>
      </c>
    </row>
    <row r="15" spans="1:3" x14ac:dyDescent="0.25">
      <c r="A15" s="8" t="s">
        <v>433</v>
      </c>
      <c r="B15" t="s">
        <v>469</v>
      </c>
    </row>
    <row r="16" spans="1:3" x14ac:dyDescent="0.25">
      <c r="A16" s="8" t="s">
        <v>435</v>
      </c>
      <c r="B16" t="s">
        <v>469</v>
      </c>
    </row>
    <row r="17" spans="1:2" x14ac:dyDescent="0.25">
      <c r="A17" s="9" t="s">
        <v>464</v>
      </c>
      <c r="B17" t="s">
        <v>470</v>
      </c>
    </row>
    <row r="18" spans="1:2" x14ac:dyDescent="0.25">
      <c r="A18" s="9" t="s">
        <v>465</v>
      </c>
      <c r="B18" t="s">
        <v>470</v>
      </c>
    </row>
    <row r="19" spans="1:2" x14ac:dyDescent="0.25">
      <c r="A19" s="8" t="s">
        <v>437</v>
      </c>
      <c r="B19" t="s">
        <v>469</v>
      </c>
    </row>
    <row r="20" spans="1:2" x14ac:dyDescent="0.25">
      <c r="A20" s="8" t="s">
        <v>439</v>
      </c>
      <c r="B20" t="s">
        <v>469</v>
      </c>
    </row>
  </sheetData>
  <autoFilter ref="A1:A20" xr:uid="{9224C791-91AC-46EB-8703-8CFE4915F091}">
    <sortState xmlns:xlrd2="http://schemas.microsoft.com/office/spreadsheetml/2017/richdata2" ref="A2:A20">
      <sortCondition ref="A1:A15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4DA9-BCF3-4A44-A751-A5C3ABCEF338}">
  <dimension ref="A1:D4"/>
  <sheetViews>
    <sheetView workbookViewId="0">
      <selection activeCell="D1" sqref="D1:D4"/>
    </sheetView>
  </sheetViews>
  <sheetFormatPr defaultRowHeight="15" x14ac:dyDescent="0.25"/>
  <cols>
    <col min="3" max="3" width="10" bestFit="1" customWidth="1"/>
  </cols>
  <sheetData>
    <row r="1" spans="1:4" x14ac:dyDescent="0.25">
      <c r="A1" t="s">
        <v>491</v>
      </c>
      <c r="B1" t="s">
        <v>492</v>
      </c>
      <c r="C1" t="s">
        <v>493</v>
      </c>
      <c r="D1" t="s">
        <v>496</v>
      </c>
    </row>
    <row r="2" spans="1:4" x14ac:dyDescent="0.25">
      <c r="A2" s="16" t="s">
        <v>26</v>
      </c>
      <c r="B2" s="16">
        <v>3324</v>
      </c>
      <c r="C2" s="16" t="s">
        <v>30</v>
      </c>
      <c r="D2" t="s">
        <v>495</v>
      </c>
    </row>
    <row r="3" spans="1:4" x14ac:dyDescent="0.25">
      <c r="A3" s="16" t="s">
        <v>26</v>
      </c>
      <c r="B3" s="16">
        <v>3324</v>
      </c>
      <c r="C3" t="s">
        <v>54</v>
      </c>
      <c r="D3" t="s">
        <v>498</v>
      </c>
    </row>
    <row r="4" spans="1:4" x14ac:dyDescent="0.25">
      <c r="A4" s="16" t="s">
        <v>26</v>
      </c>
      <c r="B4" s="16">
        <v>3324</v>
      </c>
      <c r="C4" s="16" t="s">
        <v>494</v>
      </c>
      <c r="D4" t="s">
        <v>497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Contas a Receber (Realizado)</vt:lpstr>
      <vt:lpstr>Contas a Pagar (Realizado)</vt:lpstr>
      <vt:lpstr>INVESTIMENTO</vt:lpstr>
      <vt:lpstr>Plano de Naturezas</vt:lpstr>
      <vt:lpstr>Planilha1</vt:lpstr>
      <vt:lpstr>CONTA_BANCARIA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Bem vindo</dc:creator>
  <cp:lastModifiedBy>Bem vindo</cp:lastModifiedBy>
  <dcterms:created xsi:type="dcterms:W3CDTF">2026-09-21T22:19:28Z</dcterms:created>
  <dcterms:modified xsi:type="dcterms:W3CDTF">2026-10-06T02:45:02Z</dcterms:modified>
</cp:coreProperties>
</file>