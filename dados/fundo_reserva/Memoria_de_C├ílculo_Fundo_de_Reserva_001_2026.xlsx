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lo.castro\Desktop\"/>
    </mc:Choice>
  </mc:AlternateContent>
  <xr:revisionPtr revIDLastSave="0" documentId="8_{804723A0-3167-486A-8CA1-C0C8481E955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Faturamento" sheetId="1" r:id="rId1"/>
    <sheet name="001-2026" sheetId="4" r:id="rId2"/>
    <sheet name="001-2026_Memória" sheetId="2" r:id="rId3"/>
    <sheet name="Configuração" sheetId="3" state="hidden" r:id="rId4"/>
  </sheets>
  <definedNames>
    <definedName name="_xlnm.Print_Area" localSheetId="1">'001-2026'!$A$1:$D$35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9" i="2" l="1"/>
  <c r="D19" i="2" s="1"/>
  <c r="B19" i="2"/>
  <c r="C19" i="2"/>
  <c r="E20" i="2"/>
  <c r="B7" i="2"/>
  <c r="B9" i="2"/>
  <c r="H19" i="2" l="1"/>
  <c r="G19" i="2"/>
  <c r="F19" i="2"/>
  <c r="B27" i="2"/>
  <c r="A18" i="2"/>
  <c r="D18" i="2" l="1"/>
  <c r="C12" i="2"/>
  <c r="B18" i="2"/>
  <c r="B20" i="2" s="1"/>
  <c r="B13" i="4" l="1"/>
  <c r="B15" i="4" s="1"/>
  <c r="B25" i="4" s="1"/>
  <c r="D20" i="2"/>
  <c r="G18" i="2"/>
  <c r="G20" i="2" s="1"/>
  <c r="C18" i="2"/>
  <c r="F18" i="2"/>
  <c r="F20" i="2" s="1"/>
  <c r="G12" i="2"/>
  <c r="H18" i="2" l="1"/>
  <c r="C20" i="2"/>
  <c r="H20" i="2" s="1"/>
  <c r="A12" i="2"/>
  <c r="B24" i="2"/>
  <c r="E12" i="2"/>
  <c r="B28" i="2"/>
  <c r="B25" i="2" l="1"/>
  <c r="B26" i="2"/>
  <c r="B29" i="2" s="1"/>
  <c r="C29" i="2" s="1"/>
  <c r="C27" i="2"/>
  <c r="C25" i="2"/>
  <c r="C28" i="2"/>
  <c r="C24" i="2"/>
  <c r="C26" i="2" l="1"/>
</calcChain>
</file>

<file path=xl/sharedStrings.xml><?xml version="1.0" encoding="utf-8"?>
<sst xmlns="http://schemas.openxmlformats.org/spreadsheetml/2006/main" count="81" uniqueCount="72">
  <si>
    <t>Data_Base</t>
  </si>
  <si>
    <t>Valor Total das Deduções (R$)</t>
  </si>
  <si>
    <t>Base de Cálculo (R$)</t>
  </si>
  <si>
    <t>Alíquota (%)</t>
  </si>
  <si>
    <t>Valor do ISS (R$)</t>
  </si>
  <si>
    <t>Crédito Nota Salvada (R$)</t>
  </si>
  <si>
    <t>Valor INSS (R$)</t>
  </si>
  <si>
    <t>Valor PIS (R$)</t>
  </si>
  <si>
    <t>Valor COFINS (R$)</t>
  </si>
  <si>
    <t>Valor IR (R$)</t>
  </si>
  <si>
    <t>Contribuições Sociais (R$)</t>
  </si>
  <si>
    <t>Outras Retenções (R$)</t>
  </si>
  <si>
    <t>Valor Líquido (R$)</t>
  </si>
  <si>
    <t>SALDO A RECEBER DO CLIENTE</t>
  </si>
  <si>
    <t>TRANSFERIR AO FUNDO DE RESERVA</t>
  </si>
  <si>
    <t>DETALHAMENTO POR PERÍODO</t>
  </si>
  <si>
    <t>Data Base</t>
  </si>
  <si>
    <t>TOTAL</t>
  </si>
  <si>
    <t>Indicador</t>
  </si>
  <si>
    <t>Valor (R$)</t>
  </si>
  <si>
    <t>% do Bruto</t>
  </si>
  <si>
    <t>Fundo de Reserva</t>
  </si>
  <si>
    <t>NOTAS E PREMISSAS</t>
  </si>
  <si>
    <t>1) Valor Bruto da Nota = Total das Deduções + Base de Cálculo (aba Faturamento, colunas B + C).</t>
  </si>
  <si>
    <t>2) Faturamento Líquido = Valor Líquido da aba Faturamento (coluna M): é o valor efetivamente a receber do cliente, após ISS, INSS e demais retenções.</t>
  </si>
  <si>
    <t>3) Retenções e Tributos = Valor Bruto − Faturamento Líquido (conferido contra as retenções declaradas na linha 26).</t>
  </si>
  <si>
    <t>4) Valor Já Adiantado: informe na coluna E (azul/amarelo). Valor inicial R$ 0,00 – ATUALIZAR com o adiantamento real. Saldo a Receber = Faturamento Líquido − Adiantado.</t>
  </si>
  <si>
    <t>5) Fundo de Reserva = Faturamento Líquido × taxa da célula D4 (1%, premissa informada pelo solicitante). Base: faturamento líquido, sem desconto do adiantado.</t>
  </si>
  <si>
    <t>6) A aba comporta até 12 períodos: novas linhas incluídas na aba Faturamento (linhas 2 a 13) são refletidas automaticamente.</t>
  </si>
  <si>
    <t>(-) DEDUÇÃO DO ADIANTAMENTO</t>
  </si>
  <si>
    <t>Saldo a Receber do Cliente</t>
  </si>
  <si>
    <t>Relatório para Diretoria Executiva  |  Valores em Reais (R$)  |  Fonte: "Faturamento"</t>
  </si>
  <si>
    <t>MEMÓRIA DE CÁLCULO</t>
  </si>
  <si>
    <t>Valor Bruto da NF</t>
  </si>
  <si>
    <t>001/2026</t>
  </si>
  <si>
    <r>
      <t>Documento nº</t>
    </r>
    <r>
      <rPr>
        <b/>
        <sz val="12"/>
        <color theme="1"/>
        <rFont val="Aptos Narrow"/>
        <family val="2"/>
        <scheme val="minor"/>
      </rPr>
      <t>:</t>
    </r>
  </si>
  <si>
    <t>APURAÇÃO DA TRANSFERÊNCIA PARA O FUNDO DE RESERVA</t>
  </si>
  <si>
    <r>
      <t>Data base referência</t>
    </r>
    <r>
      <rPr>
        <b/>
        <sz val="12"/>
        <color theme="1"/>
        <rFont val="Aptos Narrow"/>
        <family val="2"/>
        <scheme val="minor"/>
      </rPr>
      <t>:</t>
    </r>
  </si>
  <si>
    <t xml:space="preserve">
</t>
  </si>
  <si>
    <t>CARIOCA CHRISTIANI-NIELSEN ENGENHARIA S.A</t>
  </si>
  <si>
    <t>CTC INFRA &amp; CONSTRUCOES LTDA</t>
  </si>
  <si>
    <t>BELOV OBRAS PORTUÁRIAS LTDA</t>
  </si>
  <si>
    <t>REPRESENTANTE LEGAL</t>
  </si>
  <si>
    <t>EMPRESA CONSORCIADA</t>
  </si>
  <si>
    <t>Os representantes legais abaixo identificados, na qualidade de representantes das empresas consorciadas, manifestam sua autorização para a transferência acima.</t>
  </si>
  <si>
    <t>5. AUTORIZAÇÃO DOS REPRESENTANTES LEGAIS</t>
  </si>
  <si>
    <t>Data prevista</t>
  </si>
  <si>
    <t>Valor da transferência</t>
  </si>
  <si>
    <t>SANTANDER, Ag. 3324 - CC 130105877</t>
  </si>
  <si>
    <t>Conta de destino - Fundo de Reserva</t>
  </si>
  <si>
    <t>SANTANDER, Ag. 3324 - CC 130105657</t>
  </si>
  <si>
    <t>Conta de origem - CSD</t>
  </si>
  <si>
    <t>4. DADOS DA TRANSFERÊNCIA</t>
  </si>
  <si>
    <t>Com base na memória de cálculo acima e nas disposições da NPO, solicita-se a autorização dos representantes legais/conselho executivo das empresas consorciadas para a transferência do valor calculado da conta corrente do Consórcio para a conta bancária do Fundo de Reserva, no Banco Santander.</t>
  </si>
  <si>
    <t>3. SOLICITAÇÃO DE AUTORIZAÇÃO</t>
  </si>
  <si>
    <t>Valor a ser transferido para o Fundo de Reserva</t>
  </si>
  <si>
    <t>Percentual do Fundo de Reserva (NPO)</t>
  </si>
  <si>
    <t>Valor recebido</t>
  </si>
  <si>
    <t>Valor</t>
  </si>
  <si>
    <t>Descrição</t>
  </si>
  <si>
    <t>Formalizar a memória de cálculo e solicitar a autorização dos representantes legais das empresas consorciadas para a transferência de recursos da conta corrente do Consórcio para a conta bancária, também do Consórcio, destinada ao Fundo de Reserva, no Banco Santander, em atendimento ao percentual previsto na NPO, conforme cláusula 3.4 (Aportes), alínea V.</t>
  </si>
  <si>
    <t>1. OBJETIVO</t>
  </si>
  <si>
    <t>Data:</t>
  </si>
  <si>
    <t>Documento nº:</t>
  </si>
  <si>
    <t>DE RECURSOS PARA O FUNDO DE RESERVA</t>
  </si>
  <si>
    <t>MEMÓRIA DE CÁLCULO E SOLICITAÇÃO DE TRANSFERÊNCIA</t>
  </si>
  <si>
    <t>FATURAMENTO LÍQUIDO (DE IMPOSTOS)</t>
  </si>
  <si>
    <t>(−) Desconto Adiantamento</t>
  </si>
  <si>
    <t>Impostos s/ Bruto</t>
  </si>
  <si>
    <t>(−) Impostos</t>
  </si>
  <si>
    <t>Faturamento Líquido (de Impostos)</t>
  </si>
  <si>
    <t>2. MEMÓRIA DE CÁLCULO RESUMIDA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</si>
</sst>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 &quot;#,##0.00;&quot;(R$ &quot;#,##0.00\);\-"/>
    <numFmt numFmtId="165" formatCode="0.0%;\(0.0%\);\-"/>
    <numFmt numFmtId="166" formatCode="0.00%;\(0.00%\);\-"/>
    <numFmt numFmtId="167" formatCode="&quot;R$ &quot;#,##0;&quot;(R$ &quot;#,##0\);\-"/>
    <numFmt numFmtId="168" formatCode="mmmm\,\ yyyy;@"/>
    <numFmt numFmtId="169" formatCode="\R\$\ #,##0.00"/>
  </numFmts>
  <fonts count="33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"/>
    </font>
    <font>
      <b/>
      <sz val="18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7F7F7F"/>
      <name val="Arial"/>
      <charset val="1"/>
    </font>
    <font>
      <b/>
      <sz val="10"/>
      <name val="Arial"/>
      <charset val="1"/>
    </font>
    <font>
      <sz val="9"/>
      <color rgb="FF404040"/>
      <name val="Arial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1F386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sz val="10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ptos Narrow"/>
      <family val="2"/>
      <charset val="1"/>
    </font>
    <font>
      <b/>
      <sz val="14"/>
      <color rgb="FF1F3864"/>
      <name val="Arial"/>
      <family val="2"/>
    </font>
    <font>
      <b/>
      <sz val="9"/>
      <name val="Calibri"/>
      <family val="2"/>
    </font>
    <font>
      <b/>
      <sz val="11"/>
      <name val="Calibri"/>
      <family val="2"/>
    </font>
    <font>
      <sz val="15"/>
      <color theme="1"/>
      <name val="Aptos Narrow"/>
      <family val="2"/>
      <scheme val="minor"/>
    </font>
    <font>
      <b/>
      <sz val="1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1F4E78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66CC"/>
      </patternFill>
    </fill>
    <fill>
      <patternFill patternType="solid">
        <fgColor theme="3" tint="0.749992370372631"/>
        <bgColor rgb="FF333399"/>
      </patternFill>
    </fill>
    <fill>
      <patternFill patternType="solid">
        <fgColor theme="3" tint="0.749992370372631"/>
        <bgColor rgb="FF0066CC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/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/>
    <xf numFmtId="0" fontId="7" fillId="0" borderId="0" xfId="0" applyFont="1"/>
    <xf numFmtId="0" fontId="9" fillId="0" borderId="0" xfId="0" applyFont="1"/>
    <xf numFmtId="14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14" fontId="5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right"/>
    </xf>
    <xf numFmtId="164" fontId="11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12" fillId="0" borderId="0" xfId="0" applyFont="1"/>
    <xf numFmtId="0" fontId="5" fillId="4" borderId="1" xfId="0" applyFont="1" applyFill="1" applyBorder="1"/>
    <xf numFmtId="166" fontId="5" fillId="4" borderId="1" xfId="0" applyNumberFormat="1" applyFont="1" applyFill="1" applyBorder="1"/>
    <xf numFmtId="166" fontId="5" fillId="5" borderId="1" xfId="0" applyNumberFormat="1" applyFont="1" applyFill="1" applyBorder="1"/>
    <xf numFmtId="0" fontId="13" fillId="4" borderId="1" xfId="0" applyFont="1" applyFill="1" applyBorder="1"/>
    <xf numFmtId="166" fontId="13" fillId="4" borderId="1" xfId="0" applyNumberFormat="1" applyFont="1" applyFill="1" applyBorder="1"/>
    <xf numFmtId="0" fontId="13" fillId="5" borderId="1" xfId="0" applyFont="1" applyFill="1" applyBorder="1"/>
    <xf numFmtId="166" fontId="13" fillId="5" borderId="1" xfId="0" applyNumberFormat="1" applyFont="1" applyFill="1" applyBorder="1"/>
    <xf numFmtId="0" fontId="17" fillId="0" borderId="0" xfId="0" applyFont="1"/>
    <xf numFmtId="10" fontId="6" fillId="2" borderId="1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/>
    <xf numFmtId="167" fontId="5" fillId="5" borderId="1" xfId="0" applyNumberFormat="1" applyFont="1" applyFill="1" applyBorder="1"/>
    <xf numFmtId="167" fontId="13" fillId="4" borderId="1" xfId="0" applyNumberFormat="1" applyFont="1" applyFill="1" applyBorder="1"/>
    <xf numFmtId="167" fontId="13" fillId="5" borderId="1" xfId="0" applyNumberFormat="1" applyFont="1" applyFill="1" applyBorder="1"/>
    <xf numFmtId="0" fontId="18" fillId="5" borderId="1" xfId="0" applyFont="1" applyFill="1" applyBorder="1"/>
    <xf numFmtId="0" fontId="10" fillId="7" borderId="1" xfId="0" applyFont="1" applyFill="1" applyBorder="1" applyAlignment="1">
      <alignment horizontal="center" vertical="center" wrapText="1"/>
    </xf>
    <xf numFmtId="0" fontId="18" fillId="4" borderId="1" xfId="0" applyFont="1" applyFill="1" applyBorder="1"/>
    <xf numFmtId="4" fontId="0" fillId="0" borderId="0" xfId="0" applyNumberFormat="1"/>
    <xf numFmtId="0" fontId="16" fillId="8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3" fillId="10" borderId="0" xfId="0" applyFont="1" applyFill="1" applyAlignment="1">
      <alignment horizontal="center"/>
    </xf>
    <xf numFmtId="164" fontId="24" fillId="11" borderId="3" xfId="0" applyNumberFormat="1" applyFont="1" applyFill="1" applyBorder="1" applyAlignment="1">
      <alignment horizontal="center"/>
    </xf>
    <xf numFmtId="164" fontId="24" fillId="11" borderId="3" xfId="0" applyNumberFormat="1" applyFont="1" applyFill="1" applyBorder="1" applyAlignment="1">
      <alignment horizontal="right"/>
    </xf>
    <xf numFmtId="165" fontId="24" fillId="11" borderId="3" xfId="0" applyNumberFormat="1" applyFont="1" applyFill="1" applyBorder="1" applyAlignment="1">
      <alignment horizontal="right"/>
    </xf>
    <xf numFmtId="164" fontId="25" fillId="2" borderId="1" xfId="0" applyNumberFormat="1" applyFont="1" applyFill="1" applyBorder="1" applyAlignment="1">
      <alignment horizontal="right"/>
    </xf>
    <xf numFmtId="168" fontId="15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27" fillId="0" borderId="0" xfId="0" applyFont="1"/>
    <xf numFmtId="0" fontId="19" fillId="6" borderId="0" xfId="0" applyFont="1" applyFill="1" applyAlignment="1">
      <alignment horizontal="center" vertical="center"/>
    </xf>
    <xf numFmtId="164" fontId="28" fillId="3" borderId="2" xfId="0" applyNumberFormat="1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21" fillId="0" borderId="0" xfId="0" applyFont="1" applyAlignment="1">
      <alignment horizontal="center" vertical="center"/>
    </xf>
    <xf numFmtId="0" fontId="1" fillId="0" borderId="0" xfId="1"/>
    <xf numFmtId="0" fontId="1" fillId="0" borderId="4" xfId="1" applyBorder="1" applyAlignment="1">
      <alignment horizontal="center" vertical="center" wrapText="1"/>
    </xf>
    <xf numFmtId="0" fontId="29" fillId="12" borderId="4" xfId="1" applyFont="1" applyFill="1" applyBorder="1" applyAlignment="1">
      <alignment horizontal="center" wrapText="1"/>
    </xf>
    <xf numFmtId="0" fontId="1" fillId="0" borderId="0" xfId="1"/>
    <xf numFmtId="0" fontId="1" fillId="0" borderId="0" xfId="1" applyAlignment="1">
      <alignment vertical="top" wrapText="1"/>
    </xf>
    <xf numFmtId="0" fontId="30" fillId="0" borderId="0" xfId="1" applyFont="1"/>
    <xf numFmtId="0" fontId="1" fillId="0" borderId="4" xfId="1" applyBorder="1" applyAlignment="1">
      <alignment horizontal="left"/>
    </xf>
    <xf numFmtId="0" fontId="30" fillId="12" borderId="4" xfId="1" applyFont="1" applyFill="1" applyBorder="1"/>
    <xf numFmtId="169" fontId="30" fillId="0" borderId="4" xfId="1" applyNumberFormat="1" applyFont="1" applyBorder="1" applyAlignment="1">
      <alignment horizontal="left"/>
    </xf>
    <xf numFmtId="0" fontId="1" fillId="0" borderId="4" xfId="1" applyBorder="1"/>
    <xf numFmtId="169" fontId="30" fillId="0" borderId="4" xfId="1" applyNumberFormat="1" applyFont="1" applyBorder="1" applyAlignment="1">
      <alignment vertical="center" wrapText="1"/>
    </xf>
    <xf numFmtId="0" fontId="1" fillId="0" borderId="4" xfId="1" applyBorder="1" applyAlignment="1">
      <alignment vertical="center" wrapText="1"/>
    </xf>
    <xf numFmtId="9" fontId="1" fillId="0" borderId="4" xfId="1" applyNumberFormat="1" applyBorder="1" applyAlignment="1">
      <alignment vertical="center" wrapText="1"/>
    </xf>
    <xf numFmtId="169" fontId="1" fillId="0" borderId="4" xfId="1" applyNumberFormat="1" applyBorder="1" applyAlignment="1">
      <alignment vertical="center" wrapText="1"/>
    </xf>
    <xf numFmtId="0" fontId="30" fillId="12" borderId="4" xfId="1" applyFont="1" applyFill="1" applyBorder="1" applyAlignment="1">
      <alignment horizontal="center"/>
    </xf>
    <xf numFmtId="0" fontId="18" fillId="0" borderId="0" xfId="1" applyFont="1" applyAlignment="1">
      <alignment vertical="top" wrapText="1"/>
    </xf>
    <xf numFmtId="14" fontId="16" fillId="0" borderId="0" xfId="1" applyNumberFormat="1" applyFont="1" applyAlignment="1">
      <alignment horizontal="left"/>
    </xf>
    <xf numFmtId="0" fontId="16" fillId="0" borderId="0" xfId="1" applyFont="1" applyAlignment="1">
      <alignment horizontal="right"/>
    </xf>
    <xf numFmtId="14" fontId="16" fillId="0" borderId="0" xfId="1" applyNumberFormat="1" applyFont="1"/>
    <xf numFmtId="0" fontId="20" fillId="0" borderId="0" xfId="1" applyFont="1" applyAlignment="1">
      <alignment horizontal="right"/>
    </xf>
    <xf numFmtId="0" fontId="31" fillId="0" borderId="0" xfId="1" applyFont="1"/>
    <xf numFmtId="0" fontId="32" fillId="13" borderId="0" xfId="1" applyFont="1" applyFill="1" applyAlignment="1">
      <alignment horizontal="center"/>
    </xf>
    <xf numFmtId="0" fontId="32" fillId="13" borderId="0" xfId="1" applyFont="1" applyFill="1" applyAlignment="1">
      <alignment horizontal="center" vertical="center"/>
    </xf>
    <xf numFmtId="0" fontId="29" fillId="12" borderId="5" xfId="1" applyFont="1" applyFill="1" applyBorder="1" applyAlignment="1">
      <alignment horizontal="center" wrapText="1"/>
    </xf>
    <xf numFmtId="0" fontId="29" fillId="12" borderId="6" xfId="1" applyFont="1" applyFill="1" applyBorder="1" applyAlignment="1">
      <alignment horizontal="center" wrapText="1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14" borderId="4" xfId="1" applyFill="1" applyBorder="1" applyAlignment="1">
      <alignment vertical="center" wrapText="1"/>
    </xf>
    <xf numFmtId="14" fontId="1" fillId="14" borderId="4" xfId="1" applyNumberFormat="1" applyFill="1" applyBorder="1" applyAlignment="1">
      <alignment horizontal="left"/>
    </xf>
    <xf numFmtId="0" fontId="1" fillId="14" borderId="4" xfId="1" applyFill="1" applyBorder="1" applyAlignment="1">
      <alignment horizontal="left"/>
    </xf>
  </cellXfs>
  <cellStyles count="2">
    <cellStyle name="Normal" xfId="0" builtinId="0"/>
    <cellStyle name="Normal 2" xfId="1" xr:uid="{4BC64760-615B-4C24-8369-D6462606E93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B8B8B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6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600" b="1" strike="noStrike" spc="-1">
                <a:solidFill>
                  <a:srgbClr val="000000"/>
                </a:solidFill>
                <a:latin typeface="Aptos Narrow"/>
              </a:rPr>
              <a:t>Composição do Faturamento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585847381553416"/>
          <c:y val="0.19673788471866194"/>
          <c:w val="0.6170064711964941"/>
          <c:h val="0.75169869541225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'001-2026_Memória'!$B$23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1F386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'001-2026_Memória'!$A$24:$A$28</c:f>
              <c:strCache>
                <c:ptCount val="5"/>
                <c:pt idx="0">
                  <c:v>Valor Bruto da NF</c:v>
                </c:pt>
                <c:pt idx="1">
                  <c:v>(−) Impostos</c:v>
                </c:pt>
                <c:pt idx="2">
                  <c:v>Faturamento Líquido (de Impostos)</c:v>
                </c:pt>
                <c:pt idx="3">
                  <c:v>(−) Desconto Adiantamento</c:v>
                </c:pt>
                <c:pt idx="4">
                  <c:v>Saldo a Receber do Cliente</c:v>
                </c:pt>
              </c:strCache>
            </c:strRef>
          </c:cat>
          <c:val>
            <c:numRef>
              <c:f>'001-2026_Memória'!$B$24:$B$28</c:f>
              <c:numCache>
                <c:formatCode>"R$ "#,##0;"(R$ "#,##0\);\-</c:formatCode>
                <c:ptCount val="5"/>
                <c:pt idx="0">
                  <c:v>12160667.52</c:v>
                </c:pt>
                <c:pt idx="1">
                  <c:v>833005.71999999881</c:v>
                </c:pt>
                <c:pt idx="2">
                  <c:v>11327661.800000001</c:v>
                </c:pt>
                <c:pt idx="3">
                  <c:v>2432183.5</c:v>
                </c:pt>
                <c:pt idx="4">
                  <c:v>8895478.3000000007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E-418D-B3D2-C26845A1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37917"/>
        <c:axId val="90631916"/>
      </c:barChart>
      <c:catAx>
        <c:axId val="3653791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90631916"/>
        <c:crosses val="autoZero"/>
        <c:auto val="1"/>
        <c:lblAlgn val="ctr"/>
        <c:lblOffset val="100"/>
        <c:noMultiLvlLbl val="0"/>
      </c:catAx>
      <c:valAx>
        <c:axId val="90631916"/>
        <c:scaling>
          <c:orientation val="minMax"/>
        </c:scaling>
        <c:delete val="1"/>
        <c:axPos val="t"/>
        <c:numFmt formatCode="&quot;R$ &quot;#,##0;&quot;(R$ &quot;#,##0\);\-" sourceLinked="1"/>
        <c:majorTickMark val="none"/>
        <c:minorTickMark val="none"/>
        <c:tickLblPos val="nextTo"/>
        <c:crossAx val="365379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1">
          <a:lumMod val="50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76200</xdr:rowOff>
    </xdr:from>
    <xdr:ext cx="1059180" cy="486751"/>
    <xdr:pic>
      <xdr:nvPicPr>
        <xdr:cNvPr id="2" name="/xl/media/image.png">
          <a:extLst>
            <a:ext uri="{FF2B5EF4-FFF2-40B4-BE49-F238E27FC236}">
              <a16:creationId xmlns:a16="http://schemas.microsoft.com/office/drawing/2014/main" id="{C773E577-8FEF-4541-B797-EB27F488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76200"/>
          <a:ext cx="1059180" cy="48675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828674</xdr:colOff>
      <xdr:row>20</xdr:row>
      <xdr:rowOff>133351</xdr:rowOff>
    </xdr:from>
    <xdr:to>
      <xdr:col>7</xdr:col>
      <xdr:colOff>1226820</xdr:colOff>
      <xdr:row>29</xdr:row>
      <xdr:rowOff>121921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66674</xdr:colOff>
      <xdr:row>0</xdr:row>
      <xdr:rowOff>76200</xdr:rowOff>
    </xdr:from>
    <xdr:to>
      <xdr:col>0</xdr:col>
      <xdr:colOff>1476375</xdr:colOff>
      <xdr:row>3</xdr:row>
      <xdr:rowOff>145414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457B112E-0D1C-4328-9AD4-A65EDCB9C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76200"/>
          <a:ext cx="1409701" cy="640714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zoomScaleNormal="100" workbookViewId="0">
      <selection activeCell="E2" sqref="E2:G2"/>
    </sheetView>
  </sheetViews>
  <sheetFormatPr defaultColWidth="8.5546875" defaultRowHeight="14.4" x14ac:dyDescent="0.3"/>
  <cols>
    <col min="1" max="1" width="10.33203125" customWidth="1"/>
    <col min="2" max="2" width="28.33203125" bestFit="1" customWidth="1"/>
    <col min="3" max="3" width="19.6640625" bestFit="1" customWidth="1"/>
    <col min="4" max="4" width="11.88671875" bestFit="1" customWidth="1"/>
    <col min="5" max="5" width="15.88671875" bestFit="1" customWidth="1"/>
    <col min="6" max="6" width="24.44140625" bestFit="1" customWidth="1"/>
    <col min="7" max="7" width="14.5546875" bestFit="1" customWidth="1"/>
    <col min="8" max="8" width="13.109375" bestFit="1" customWidth="1"/>
    <col min="9" max="9" width="17.44140625" bestFit="1" customWidth="1"/>
    <col min="10" max="10" width="12" bestFit="1" customWidth="1"/>
    <col min="11" max="11" width="25.33203125" bestFit="1" customWidth="1"/>
    <col min="12" max="12" width="21.6640625" bestFit="1" customWidth="1"/>
    <col min="13" max="13" width="17" bestFit="1" customWidth="1"/>
  </cols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3">
        <v>46295</v>
      </c>
      <c r="B2" s="2">
        <v>4864267</v>
      </c>
      <c r="C2" s="2">
        <v>7296400.5199999996</v>
      </c>
      <c r="D2" s="3">
        <v>0.05</v>
      </c>
      <c r="E2" s="2">
        <v>364820.03</v>
      </c>
      <c r="F2" s="4">
        <v>0</v>
      </c>
      <c r="G2" s="2">
        <v>468185.69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2">
        <v>11327661.800000001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F582-A7C8-483F-BB8A-BBF98AD8EE62}">
  <sheetPr>
    <tabColor theme="4" tint="-0.499984740745262"/>
    <pageSetUpPr fitToPage="1"/>
  </sheetPr>
  <dimension ref="A1:D35"/>
  <sheetViews>
    <sheetView showGridLines="0" tabSelected="1" zoomScaleNormal="100" workbookViewId="0">
      <selection activeCell="B26" sqref="B26:D26"/>
    </sheetView>
  </sheetViews>
  <sheetFormatPr defaultRowHeight="14.4" x14ac:dyDescent="0.3"/>
  <cols>
    <col min="1" max="1" width="42.88671875" style="53" customWidth="1"/>
    <col min="2" max="2" width="18.109375" style="53" customWidth="1"/>
    <col min="3" max="3" width="24" style="53" customWidth="1"/>
    <col min="4" max="4" width="19" style="53" customWidth="1"/>
    <col min="5" max="16384" width="8.88671875" style="53"/>
  </cols>
  <sheetData>
    <row r="1" spans="1:4" ht="51.6" customHeight="1" x14ac:dyDescent="0.3"/>
    <row r="2" spans="1:4" ht="24" customHeight="1" x14ac:dyDescent="0.3">
      <c r="A2" s="75" t="s">
        <v>65</v>
      </c>
      <c r="B2" s="56"/>
      <c r="C2" s="56"/>
      <c r="D2" s="56"/>
    </row>
    <row r="3" spans="1:4" ht="19.8" x14ac:dyDescent="0.4">
      <c r="A3" s="74" t="s">
        <v>64</v>
      </c>
      <c r="B3" s="73"/>
      <c r="C3" s="73"/>
      <c r="D3" s="73"/>
    </row>
    <row r="4" spans="1:4" x14ac:dyDescent="0.3">
      <c r="C4" s="72" t="s">
        <v>63</v>
      </c>
      <c r="D4" s="71" t="s">
        <v>34</v>
      </c>
    </row>
    <row r="5" spans="1:4" x14ac:dyDescent="0.3">
      <c r="C5" s="70" t="s">
        <v>62</v>
      </c>
      <c r="D5" s="69">
        <v>46282</v>
      </c>
    </row>
    <row r="6" spans="1:4" x14ac:dyDescent="0.3">
      <c r="A6" s="58" t="s">
        <v>61</v>
      </c>
    </row>
    <row r="7" spans="1:4" x14ac:dyDescent="0.3">
      <c r="A7" s="68" t="s">
        <v>60</v>
      </c>
      <c r="B7" s="56"/>
      <c r="C7" s="56"/>
      <c r="D7" s="56"/>
    </row>
    <row r="8" spans="1:4" x14ac:dyDescent="0.3">
      <c r="A8" s="56"/>
      <c r="B8" s="56"/>
      <c r="C8" s="56"/>
      <c r="D8" s="56"/>
    </row>
    <row r="9" spans="1:4" x14ac:dyDescent="0.3">
      <c r="A9" s="56"/>
      <c r="B9" s="56"/>
      <c r="C9" s="56"/>
      <c r="D9" s="56"/>
    </row>
    <row r="11" spans="1:4" x14ac:dyDescent="0.3">
      <c r="A11" s="58" t="s">
        <v>71</v>
      </c>
    </row>
    <row r="12" spans="1:4" x14ac:dyDescent="0.3">
      <c r="A12" s="67" t="s">
        <v>59</v>
      </c>
      <c r="B12" s="67" t="s">
        <v>58</v>
      </c>
    </row>
    <row r="13" spans="1:4" x14ac:dyDescent="0.3">
      <c r="A13" s="80" t="s">
        <v>57</v>
      </c>
      <c r="B13" s="66">
        <f>'001-2026_Memória'!D18</f>
        <v>11327661.800000001</v>
      </c>
    </row>
    <row r="14" spans="1:4" x14ac:dyDescent="0.3">
      <c r="A14" s="64" t="s">
        <v>56</v>
      </c>
      <c r="B14" s="65">
        <v>0.01</v>
      </c>
    </row>
    <row r="15" spans="1:4" x14ac:dyDescent="0.3">
      <c r="A15" s="64" t="s">
        <v>55</v>
      </c>
      <c r="B15" s="63">
        <f>B13*B14</f>
        <v>113276.61800000002</v>
      </c>
    </row>
    <row r="17" spans="1:4" x14ac:dyDescent="0.3">
      <c r="A17" s="58" t="s">
        <v>54</v>
      </c>
    </row>
    <row r="18" spans="1:4" x14ac:dyDescent="0.3">
      <c r="A18" s="57" t="s">
        <v>53</v>
      </c>
      <c r="B18" s="56"/>
      <c r="C18" s="56"/>
      <c r="D18" s="56"/>
    </row>
    <row r="19" spans="1:4" x14ac:dyDescent="0.3">
      <c r="A19" s="56"/>
      <c r="B19" s="56"/>
      <c r="C19" s="56"/>
      <c r="D19" s="56"/>
    </row>
    <row r="20" spans="1:4" x14ac:dyDescent="0.3">
      <c r="A20" s="56"/>
      <c r="B20" s="56"/>
      <c r="C20" s="56"/>
      <c r="D20" s="56"/>
    </row>
    <row r="21" spans="1:4" x14ac:dyDescent="0.3">
      <c r="A21" s="56"/>
      <c r="B21" s="56"/>
      <c r="C21" s="56"/>
      <c r="D21" s="56"/>
    </row>
    <row r="22" spans="1:4" x14ac:dyDescent="0.3">
      <c r="A22" s="58" t="s">
        <v>52</v>
      </c>
    </row>
    <row r="23" spans="1:4" x14ac:dyDescent="0.3">
      <c r="A23" s="60" t="s">
        <v>51</v>
      </c>
      <c r="B23" s="62" t="s">
        <v>50</v>
      </c>
      <c r="C23" s="62"/>
      <c r="D23" s="62"/>
    </row>
    <row r="24" spans="1:4" x14ac:dyDescent="0.3">
      <c r="A24" s="60" t="s">
        <v>49</v>
      </c>
      <c r="B24" s="62" t="s">
        <v>48</v>
      </c>
      <c r="C24" s="62"/>
      <c r="D24" s="62"/>
    </row>
    <row r="25" spans="1:4" x14ac:dyDescent="0.3">
      <c r="A25" s="60" t="s">
        <v>47</v>
      </c>
      <c r="B25" s="61">
        <f>B15</f>
        <v>113276.61800000002</v>
      </c>
      <c r="C25" s="59"/>
      <c r="D25" s="59"/>
    </row>
    <row r="26" spans="1:4" x14ac:dyDescent="0.3">
      <c r="A26" s="60" t="s">
        <v>46</v>
      </c>
      <c r="B26" s="81">
        <v>46286</v>
      </c>
      <c r="C26" s="82"/>
      <c r="D26" s="82"/>
    </row>
    <row r="28" spans="1:4" x14ac:dyDescent="0.3">
      <c r="A28" s="58" t="s">
        <v>45</v>
      </c>
    </row>
    <row r="29" spans="1:4" x14ac:dyDescent="0.3">
      <c r="A29" s="57" t="s">
        <v>44</v>
      </c>
      <c r="B29" s="56"/>
      <c r="C29" s="56"/>
      <c r="D29" s="56"/>
    </row>
    <row r="30" spans="1:4" x14ac:dyDescent="0.3">
      <c r="A30" s="56"/>
      <c r="B30" s="56"/>
      <c r="C30" s="56"/>
      <c r="D30" s="56"/>
    </row>
    <row r="32" spans="1:4" x14ac:dyDescent="0.3">
      <c r="A32" s="55" t="s">
        <v>43</v>
      </c>
      <c r="B32" s="76" t="s">
        <v>42</v>
      </c>
      <c r="C32" s="77"/>
    </row>
    <row r="33" spans="1:3" ht="37.950000000000003" customHeight="1" x14ac:dyDescent="0.3">
      <c r="A33" s="54" t="s">
        <v>41</v>
      </c>
      <c r="B33" s="78" t="s">
        <v>38</v>
      </c>
      <c r="C33" s="79"/>
    </row>
    <row r="34" spans="1:3" ht="37.950000000000003" customHeight="1" x14ac:dyDescent="0.3">
      <c r="A34" s="54" t="s">
        <v>40</v>
      </c>
      <c r="B34" s="78" t="s">
        <v>38</v>
      </c>
      <c r="C34" s="79"/>
    </row>
    <row r="35" spans="1:3" ht="37.950000000000003" customHeight="1" x14ac:dyDescent="0.3">
      <c r="A35" s="54" t="s">
        <v>39</v>
      </c>
      <c r="B35" s="78" t="s">
        <v>38</v>
      </c>
      <c r="C35" s="79"/>
    </row>
  </sheetData>
  <mergeCells count="13">
    <mergeCell ref="B32:C32"/>
    <mergeCell ref="B33:C33"/>
    <mergeCell ref="B34:C34"/>
    <mergeCell ref="B35:C35"/>
    <mergeCell ref="A29:D30"/>
    <mergeCell ref="A18:D21"/>
    <mergeCell ref="A2:D2"/>
    <mergeCell ref="A7:D9"/>
    <mergeCell ref="B26:D26"/>
    <mergeCell ref="B25:D25"/>
    <mergeCell ref="B24:D24"/>
    <mergeCell ref="B23:D23"/>
    <mergeCell ref="A3:D3"/>
  </mergeCells>
  <pageMargins left="0.25" right="0.25" top="0.5" bottom="0.5" header="0.2" footer="0.2"/>
  <pageSetup scale="9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5:H29"/>
  <sheetViews>
    <sheetView showGridLines="0" zoomScaleNormal="100" workbookViewId="0">
      <selection activeCell="B32" sqref="B32"/>
    </sheetView>
  </sheetViews>
  <sheetFormatPr defaultColWidth="8.5546875" defaultRowHeight="14.4" x14ac:dyDescent="0.3"/>
  <cols>
    <col min="1" max="1" width="32.109375" customWidth="1"/>
    <col min="2" max="3" width="22" customWidth="1"/>
    <col min="4" max="4" width="24" customWidth="1"/>
    <col min="5" max="7" width="22" customWidth="1"/>
    <col min="8" max="8" width="18" customWidth="1"/>
  </cols>
  <sheetData>
    <row r="5" spans="1:8" ht="22.8" x14ac:dyDescent="0.3">
      <c r="A5" s="47" t="s">
        <v>36</v>
      </c>
      <c r="B5" s="48"/>
      <c r="C5" s="48"/>
      <c r="D5" s="48"/>
      <c r="E5" s="48"/>
      <c r="F5" s="48"/>
      <c r="G5" s="48"/>
      <c r="H5" s="48"/>
    </row>
    <row r="6" spans="1:8" ht="15.6" x14ac:dyDescent="0.3">
      <c r="A6" s="34" t="s">
        <v>35</v>
      </c>
      <c r="B6" s="36" t="s">
        <v>34</v>
      </c>
    </row>
    <row r="7" spans="1:8" ht="15.6" x14ac:dyDescent="0.3">
      <c r="A7" s="35" t="s">
        <v>37</v>
      </c>
      <c r="B7" s="42">
        <f>Faturamento!A2</f>
        <v>46295</v>
      </c>
    </row>
    <row r="8" spans="1:8" ht="2.1" customHeight="1" x14ac:dyDescent="0.3"/>
    <row r="9" spans="1:8" ht="15.6" x14ac:dyDescent="0.3">
      <c r="A9" s="5"/>
      <c r="B9" s="24" t="str">
        <f>"Apuração do Fundo de Reserva (" &amp; TEXT(E9,"##%") &amp;  " / Faturamento Líquido)"</f>
        <v>Apuração do Fundo de Reserva (1% / Faturamento Líquido)</v>
      </c>
      <c r="C9" s="5"/>
      <c r="D9" s="5"/>
      <c r="E9" s="25">
        <v>0.01</v>
      </c>
      <c r="F9" s="6"/>
    </row>
    <row r="10" spans="1:8" ht="2.1" customHeight="1" x14ac:dyDescent="0.3"/>
    <row r="11" spans="1:8" x14ac:dyDescent="0.3">
      <c r="A11" s="49" t="s">
        <v>66</v>
      </c>
      <c r="B11" s="49"/>
      <c r="C11" s="49" t="s">
        <v>29</v>
      </c>
      <c r="D11" s="49"/>
      <c r="E11" s="49" t="s">
        <v>13</v>
      </c>
      <c r="F11" s="49"/>
      <c r="G11" s="50" t="s">
        <v>14</v>
      </c>
      <c r="H11" s="50"/>
    </row>
    <row r="12" spans="1:8" s="44" customFormat="1" ht="13.8" x14ac:dyDescent="0.3">
      <c r="A12" s="46">
        <f>D20</f>
        <v>11327661.800000001</v>
      </c>
      <c r="B12" s="46"/>
      <c r="C12" s="46">
        <f>E20</f>
        <v>2432183.5</v>
      </c>
      <c r="D12" s="46"/>
      <c r="E12" s="46">
        <f>F20</f>
        <v>8895478.3000000007</v>
      </c>
      <c r="F12" s="46"/>
      <c r="G12" s="46">
        <f>G20</f>
        <v>113276.61800000002</v>
      </c>
      <c r="H12" s="46"/>
    </row>
    <row r="13" spans="1:8" s="44" customFormat="1" ht="13.8" x14ac:dyDescent="0.3">
      <c r="A13" s="46"/>
      <c r="B13" s="46"/>
      <c r="C13" s="46"/>
      <c r="D13" s="46"/>
      <c r="E13" s="46"/>
      <c r="F13" s="46"/>
      <c r="G13" s="46"/>
      <c r="H13" s="46"/>
    </row>
    <row r="14" spans="1:8" ht="2.1" customHeight="1" x14ac:dyDescent="0.3"/>
    <row r="15" spans="1:8" ht="15.6" x14ac:dyDescent="0.3">
      <c r="A15" s="7" t="s">
        <v>15</v>
      </c>
    </row>
    <row r="16" spans="1:8" ht="2.1" customHeight="1" x14ac:dyDescent="0.3"/>
    <row r="17" spans="1:8" ht="43.5" customHeight="1" x14ac:dyDescent="0.3">
      <c r="A17" s="31" t="s">
        <v>16</v>
      </c>
      <c r="B17" s="31" t="s">
        <v>33</v>
      </c>
      <c r="C17" s="31" t="s">
        <v>69</v>
      </c>
      <c r="D17" s="31" t="s">
        <v>70</v>
      </c>
      <c r="E17" s="31" t="s">
        <v>67</v>
      </c>
      <c r="F17" s="31" t="s">
        <v>30</v>
      </c>
      <c r="G17" s="31" t="s">
        <v>21</v>
      </c>
      <c r="H17" s="31" t="s">
        <v>68</v>
      </c>
    </row>
    <row r="18" spans="1:8" x14ac:dyDescent="0.3">
      <c r="A18" s="8">
        <f>IF(Faturamento!A2="","",Faturamento!A2)</f>
        <v>46295</v>
      </c>
      <c r="B18" s="9">
        <f>IF($A18="","",Faturamento!B2+Faturamento!C2)</f>
        <v>12160667.52</v>
      </c>
      <c r="C18" s="9">
        <f>IF($A18="","",B18-D18)</f>
        <v>833005.71999999881</v>
      </c>
      <c r="D18" s="9">
        <f>IF($A18="","",Faturamento!M2)</f>
        <v>11327661.800000001</v>
      </c>
      <c r="E18" s="41">
        <v>2432183.5</v>
      </c>
      <c r="F18" s="9">
        <f>IF($A18="","",D18-E18)</f>
        <v>8895478.3000000007</v>
      </c>
      <c r="G18" s="10">
        <f>IF($A18="","",D18*$E$9)</f>
        <v>113276.61800000002</v>
      </c>
      <c r="H18" s="11">
        <f>IF($A18="","",IF(B18=0,0,C18/B18))</f>
        <v>6.8499999578970391E-2</v>
      </c>
    </row>
    <row r="19" spans="1:8" ht="15" hidden="1" thickBot="1" x14ac:dyDescent="0.35">
      <c r="A19" s="12" t="str">
        <f>IF(Faturamento!A13="","",Faturamento!A13)</f>
        <v/>
      </c>
      <c r="B19" s="13" t="str">
        <f>IF($A19="","",Faturamento!B13+Faturamento!C13)</f>
        <v/>
      </c>
      <c r="C19" s="13" t="str">
        <f>IF($A19="","",B19-D19)</f>
        <v/>
      </c>
      <c r="D19" s="13" t="str">
        <f>IF($A19="","",Faturamento!M13)</f>
        <v/>
      </c>
      <c r="E19" s="12"/>
      <c r="F19" s="13" t="str">
        <f>IF($A19="","",D19-E19)</f>
        <v/>
      </c>
      <c r="G19" s="14" t="str">
        <f>IF($A19="","",D19*$E$9)</f>
        <v/>
      </c>
      <c r="H19" s="15" t="str">
        <f>IF($A19="","",IF(B19=0,0,C19/B19))</f>
        <v/>
      </c>
    </row>
    <row r="20" spans="1:8" ht="15" hidden="1" customHeight="1" thickBot="1" x14ac:dyDescent="0.35">
      <c r="A20" s="38" t="s">
        <v>17</v>
      </c>
      <c r="B20" s="39">
        <f t="shared" ref="B20:G20" si="0">SUM(B18:B19)</f>
        <v>12160667.52</v>
      </c>
      <c r="C20" s="39">
        <f t="shared" si="0"/>
        <v>833005.71999999881</v>
      </c>
      <c r="D20" s="39">
        <f t="shared" si="0"/>
        <v>11327661.800000001</v>
      </c>
      <c r="E20" s="39">
        <f t="shared" si="0"/>
        <v>2432183.5</v>
      </c>
      <c r="F20" s="39">
        <f t="shared" si="0"/>
        <v>8895478.3000000007</v>
      </c>
      <c r="G20" s="39">
        <f t="shared" si="0"/>
        <v>113276.61800000002</v>
      </c>
      <c r="H20" s="40">
        <f>IF(B20=0,0,C20/B20)</f>
        <v>6.8499999578970391E-2</v>
      </c>
    </row>
    <row r="21" spans="1:8" x14ac:dyDescent="0.3">
      <c r="A21" s="16"/>
      <c r="B21" s="6"/>
    </row>
    <row r="22" spans="1:8" x14ac:dyDescent="0.3">
      <c r="A22" s="45" t="s">
        <v>32</v>
      </c>
      <c r="B22" s="45"/>
      <c r="C22" s="45"/>
    </row>
    <row r="23" spans="1:8" x14ac:dyDescent="0.3">
      <c r="A23" s="37" t="s">
        <v>18</v>
      </c>
      <c r="B23" s="37" t="s">
        <v>19</v>
      </c>
      <c r="C23" s="37" t="s">
        <v>20</v>
      </c>
    </row>
    <row r="24" spans="1:8" x14ac:dyDescent="0.3">
      <c r="A24" s="32" t="s">
        <v>33</v>
      </c>
      <c r="B24" s="26">
        <f>B20</f>
        <v>12160667.52</v>
      </c>
      <c r="C24" s="18">
        <f t="shared" ref="C24:C29" si="1">IF($B$24=0,0,B24/$B$24)</f>
        <v>1</v>
      </c>
    </row>
    <row r="25" spans="1:8" x14ac:dyDescent="0.3">
      <c r="A25" s="30" t="s">
        <v>69</v>
      </c>
      <c r="B25" s="27">
        <f>C20</f>
        <v>833005.71999999881</v>
      </c>
      <c r="C25" s="19">
        <f t="shared" si="1"/>
        <v>6.8499999578970391E-2</v>
      </c>
    </row>
    <row r="26" spans="1:8" x14ac:dyDescent="0.3">
      <c r="A26" s="20" t="s">
        <v>70</v>
      </c>
      <c r="B26" s="28">
        <f>B24-B25</f>
        <v>11327661.800000001</v>
      </c>
      <c r="C26" s="21">
        <f t="shared" si="1"/>
        <v>0.93150000042102965</v>
      </c>
    </row>
    <row r="27" spans="1:8" x14ac:dyDescent="0.3">
      <c r="A27" s="30" t="s">
        <v>67</v>
      </c>
      <c r="B27" s="27">
        <f>E20</f>
        <v>2432183.5</v>
      </c>
      <c r="C27" s="19">
        <f t="shared" si="1"/>
        <v>0.20000411128746987</v>
      </c>
      <c r="D27" s="33"/>
    </row>
    <row r="28" spans="1:8" x14ac:dyDescent="0.3">
      <c r="A28" s="17" t="s">
        <v>30</v>
      </c>
      <c r="B28" s="26">
        <f>F20</f>
        <v>8895478.3000000007</v>
      </c>
      <c r="C28" s="18">
        <f t="shared" si="1"/>
        <v>0.73149588913355978</v>
      </c>
    </row>
    <row r="29" spans="1:8" x14ac:dyDescent="0.3">
      <c r="A29" s="22" t="s">
        <v>21</v>
      </c>
      <c r="B29" s="29">
        <f>B26*E9</f>
        <v>113276.61800000002</v>
      </c>
      <c r="C29" s="23">
        <f t="shared" si="1"/>
        <v>9.3150000042102974E-3</v>
      </c>
    </row>
  </sheetData>
  <mergeCells count="10">
    <mergeCell ref="A5:H5"/>
    <mergeCell ref="A11:B11"/>
    <mergeCell ref="C11:D11"/>
    <mergeCell ref="E11:F11"/>
    <mergeCell ref="G11:H11"/>
    <mergeCell ref="A22:C22"/>
    <mergeCell ref="A12:B13"/>
    <mergeCell ref="C12:D13"/>
    <mergeCell ref="E12:F13"/>
    <mergeCell ref="G12:H13"/>
  </mergeCells>
  <dataValidations count="1">
    <dataValidation type="decimal" operator="greaterThanOrEqual" allowBlank="1" errorTitle="Valor inválido" error="Informe um valor numérico maior ou igual a zero." sqref="E18:E19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scale="65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B84F-903D-4674-9618-1B84CA987F43}">
  <dimension ref="A1:H10"/>
  <sheetViews>
    <sheetView showGridLines="0" workbookViewId="0">
      <selection activeCell="A14" sqref="A14:B14"/>
    </sheetView>
  </sheetViews>
  <sheetFormatPr defaultColWidth="9.109375" defaultRowHeight="14.4" x14ac:dyDescent="0.3"/>
  <cols>
    <col min="1" max="1" width="23.88671875" bestFit="1" customWidth="1"/>
    <col min="2" max="8" width="19.88671875" customWidth="1"/>
  </cols>
  <sheetData>
    <row r="1" spans="1:8" x14ac:dyDescent="0.3">
      <c r="A1" s="5" t="s">
        <v>22</v>
      </c>
    </row>
    <row r="2" spans="1:8" ht="25.5" customHeight="1" x14ac:dyDescent="0.3">
      <c r="A2" s="51" t="s">
        <v>23</v>
      </c>
      <c r="B2" s="51"/>
      <c r="C2" s="51"/>
      <c r="D2" s="51"/>
      <c r="E2" s="51"/>
      <c r="F2" s="51"/>
      <c r="G2" s="51"/>
      <c r="H2" s="51"/>
    </row>
    <row r="3" spans="1:8" ht="25.5" customHeight="1" x14ac:dyDescent="0.3">
      <c r="A3" s="51" t="s">
        <v>24</v>
      </c>
      <c r="B3" s="51"/>
      <c r="C3" s="51"/>
      <c r="D3" s="51"/>
      <c r="E3" s="51"/>
      <c r="F3" s="51"/>
      <c r="G3" s="51"/>
      <c r="H3" s="51"/>
    </row>
    <row r="4" spans="1:8" ht="25.5" customHeight="1" x14ac:dyDescent="0.3">
      <c r="A4" s="51" t="s">
        <v>25</v>
      </c>
      <c r="B4" s="51"/>
      <c r="C4" s="51"/>
      <c r="D4" s="51"/>
      <c r="E4" s="51"/>
      <c r="F4" s="51"/>
      <c r="G4" s="51"/>
      <c r="H4" s="51"/>
    </row>
    <row r="5" spans="1:8" ht="25.5" customHeight="1" x14ac:dyDescent="0.3">
      <c r="A5" s="51" t="s">
        <v>26</v>
      </c>
      <c r="B5" s="51"/>
      <c r="C5" s="51"/>
      <c r="D5" s="51"/>
      <c r="E5" s="51"/>
      <c r="F5" s="51"/>
      <c r="G5" s="51"/>
      <c r="H5" s="51"/>
    </row>
    <row r="6" spans="1:8" ht="25.5" customHeight="1" x14ac:dyDescent="0.3">
      <c r="A6" s="51" t="s">
        <v>27</v>
      </c>
      <c r="B6" s="51"/>
      <c r="C6" s="51"/>
      <c r="D6" s="51"/>
      <c r="E6" s="51"/>
      <c r="F6" s="51"/>
      <c r="G6" s="51"/>
      <c r="H6" s="51"/>
    </row>
    <row r="7" spans="1:8" ht="25.5" customHeight="1" x14ac:dyDescent="0.3">
      <c r="A7" s="51" t="s">
        <v>28</v>
      </c>
      <c r="B7" s="51"/>
      <c r="C7" s="51"/>
      <c r="D7" s="51"/>
      <c r="E7" s="51"/>
      <c r="F7" s="51"/>
      <c r="G7" s="51"/>
      <c r="H7" s="51"/>
    </row>
    <row r="10" spans="1:8" x14ac:dyDescent="0.3">
      <c r="A10" s="52" t="s">
        <v>31</v>
      </c>
      <c r="B10" s="52"/>
      <c r="C10" s="52"/>
      <c r="D10" s="52"/>
      <c r="E10" s="52"/>
      <c r="F10" s="52"/>
      <c r="G10" s="52"/>
      <c r="H10" s="52"/>
    </row>
  </sheetData>
  <mergeCells count="7">
    <mergeCell ref="A2:H2"/>
    <mergeCell ref="A10:H10"/>
    <mergeCell ref="A3:H3"/>
    <mergeCell ref="A4:H4"/>
    <mergeCell ref="A5:H5"/>
    <mergeCell ref="A6:H6"/>
    <mergeCell ref="A7:H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Faturamento</vt:lpstr>
      <vt:lpstr>001-2026</vt:lpstr>
      <vt:lpstr>001-2026_Memória</vt:lpstr>
      <vt:lpstr>Configuração</vt:lpstr>
      <vt:lpstr>'001-2026'!Area_de_impressao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Flabones De Oliveira Silva</dc:creator>
  <dc:description/>
  <cp:lastModifiedBy>Danilo Souza de Castro</cp:lastModifiedBy>
  <cp:revision>1</cp:revision>
  <cp:lastPrinted>2026-10-05T11:16:40Z</cp:lastPrinted>
  <dcterms:created xsi:type="dcterms:W3CDTF">2026-10-04T12:17:36Z</dcterms:created>
  <dcterms:modified xsi:type="dcterms:W3CDTF">2026-10-05T11:18:31Z</dcterms:modified>
  <dc:language>en-US</dc:language>
</cp:coreProperties>
</file>