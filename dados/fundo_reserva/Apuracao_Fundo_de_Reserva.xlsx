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m vindo\Desktop\CSD\"/>
    </mc:Choice>
  </mc:AlternateContent>
  <xr:revisionPtr revIDLastSave="0" documentId="13_ncr:1_{28D38910-B965-48CD-9231-4D5BD818052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aturamento" sheetId="1" r:id="rId1"/>
    <sheet name="Recebimento e Reserv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9" i="2"/>
  <c r="E20" i="2" l="1"/>
  <c r="B27" i="2" s="1"/>
  <c r="A19" i="2"/>
  <c r="H19" i="2" s="1"/>
  <c r="A18" i="2"/>
  <c r="D18" i="2" s="1"/>
  <c r="D19" i="2" l="1"/>
  <c r="C12" i="2"/>
  <c r="F18" i="2"/>
  <c r="B18" i="2"/>
  <c r="C18" i="2" s="1"/>
  <c r="G18" i="2"/>
  <c r="F19" i="2"/>
  <c r="B19" i="2"/>
  <c r="G19" i="2"/>
  <c r="C19" i="2"/>
  <c r="D20" i="2" l="1"/>
  <c r="H18" i="2"/>
  <c r="F20" i="2"/>
  <c r="G20" i="2"/>
  <c r="B20" i="2"/>
  <c r="C20" i="2"/>
  <c r="A12" i="2" l="1"/>
  <c r="H20" i="2"/>
  <c r="B24" i="2"/>
  <c r="G12" i="2"/>
  <c r="B25" i="2"/>
  <c r="E12" i="2"/>
  <c r="B28" i="2"/>
  <c r="B26" i="2" l="1"/>
  <c r="B29" i="2" s="1"/>
  <c r="C29" i="2" s="1"/>
  <c r="C27" i="2"/>
  <c r="C25" i="2"/>
  <c r="C28" i="2"/>
  <c r="C24" i="2"/>
  <c r="C26" i="2" l="1"/>
</calcChain>
</file>

<file path=xl/sharedStrings.xml><?xml version="1.0" encoding="utf-8"?>
<sst xmlns="http://schemas.openxmlformats.org/spreadsheetml/2006/main" count="55" uniqueCount="49">
  <si>
    <t>Data_Base</t>
  </si>
  <si>
    <t>Valor Total das Deduções (R$)</t>
  </si>
  <si>
    <t>Base de Cálculo (R$)</t>
  </si>
  <si>
    <t>Alíquota (%)</t>
  </si>
  <si>
    <t>Valor do ISS (R$)</t>
  </si>
  <si>
    <t>Crédito Nota Salvada (R$)</t>
  </si>
  <si>
    <t>Valor INSS (R$)</t>
  </si>
  <si>
    <t>Valor PIS (R$)</t>
  </si>
  <si>
    <t>Valor COFINS (R$)</t>
  </si>
  <si>
    <t>Valor IR (R$)</t>
  </si>
  <si>
    <t>Contribuições Sociais (R$)</t>
  </si>
  <si>
    <t>Outras Retenções (R$)</t>
  </si>
  <si>
    <t>Valor Líquido (R$)</t>
  </si>
  <si>
    <t>FATURAMENTO LÍQUIDO</t>
  </si>
  <si>
    <t>SALDO A RECEBER DO CLIENTE</t>
  </si>
  <si>
    <t>TRANSFERIR AO FUNDO DE RESERVA</t>
  </si>
  <si>
    <t>DETALHAMENTO POR PERÍODO</t>
  </si>
  <si>
    <t>Data Base</t>
  </si>
  <si>
    <t>TOTAL</t>
  </si>
  <si>
    <t>Indicador</t>
  </si>
  <si>
    <t>Valor (R$)</t>
  </si>
  <si>
    <t>% do Bruto</t>
  </si>
  <si>
    <t>Valor Bruto da Nota</t>
  </si>
  <si>
    <t>(−) Retenções e Tributos</t>
  </si>
  <si>
    <t>Faturamento Líquido</t>
  </si>
  <si>
    <t>Saldo a Receber</t>
  </si>
  <si>
    <t>Fundo de Reserva</t>
  </si>
  <si>
    <t>(-) DEDUÇÃO DO ADIANTAMENTO</t>
  </si>
  <si>
    <t>(−) Valor Já Adiantado</t>
  </si>
  <si>
    <t>Saldo a Receber do Cliente</t>
  </si>
  <si>
    <t>Retenções s/ Bruto</t>
  </si>
  <si>
    <t>Faturamento Líquido / Valor a Receber</t>
  </si>
  <si>
    <t>(−) Já Adiantado</t>
  </si>
  <si>
    <t>MEMÓRIA DE CÁLCULO</t>
  </si>
  <si>
    <t>RESPONSÁVEIS</t>
  </si>
  <si>
    <t>ELABORAÇÃO</t>
  </si>
  <si>
    <t>CONFERÊNCIA</t>
  </si>
  <si>
    <t>Financeiro do Consórcio</t>
  </si>
  <si>
    <t>Gerente Administrativo Financeiro (GAF)</t>
  </si>
  <si>
    <t>Assinatura:</t>
  </si>
  <si>
    <t>ATESTO DA DIRETORIA</t>
  </si>
  <si>
    <t>Diretor Belov</t>
  </si>
  <si>
    <t>Diretor Carioca</t>
  </si>
  <si>
    <t>Diretor CTC</t>
  </si>
  <si>
    <t>Valor Bruto da NF</t>
  </si>
  <si>
    <t>001/2026</t>
  </si>
  <si>
    <r>
      <t>Documento nº</t>
    </r>
    <r>
      <rPr>
        <b/>
        <sz val="12"/>
        <color theme="1"/>
        <rFont val="Aptos Narrow"/>
        <family val="2"/>
        <scheme val="minor"/>
      </rPr>
      <t>:</t>
    </r>
  </si>
  <si>
    <t>APURAÇÃO DA TRANSFERÊNCIA PARA O FUNDO DE RESERVA</t>
  </si>
  <si>
    <r>
      <t>Data base referência</t>
    </r>
    <r>
      <rPr>
        <b/>
        <sz val="12"/>
        <color theme="1"/>
        <rFont val="Aptos Narrow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</si>
</sst>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;&quot;(R$ &quot;#,##0.00\);\-"/>
    <numFmt numFmtId="165" formatCode="0.0%;\(0.0%\);\-"/>
    <numFmt numFmtId="166" formatCode="0.00%;\(0.00%\);\-"/>
    <numFmt numFmtId="167" formatCode="&quot;R$ &quot;#,##0;&quot;(R$ &quot;#,##0\);\-"/>
    <numFmt numFmtId="168" formatCode="mmmm\,\ yyyy;@"/>
  </numFmts>
  <fonts count="2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8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7F7F7F"/>
      <name val="Arial"/>
      <charset val="1"/>
    </font>
    <font>
      <b/>
      <sz val="10"/>
      <name val="Arial"/>
      <charset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1F3864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sz val="10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ptos Narrow"/>
      <family val="2"/>
      <charset val="1"/>
    </font>
    <font>
      <b/>
      <sz val="14"/>
      <color rgb="FF1F38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1F4E78"/>
        <bgColor rgb="FF333399"/>
      </patternFill>
    </fill>
    <fill>
      <patternFill patternType="solid">
        <fgColor rgb="FFFFFFCC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66CC"/>
      </patternFill>
    </fill>
    <fill>
      <patternFill patternType="solid">
        <fgColor theme="3" tint="0.749992370372631"/>
        <bgColor rgb="FF333399"/>
      </patternFill>
    </fill>
    <fill>
      <patternFill patternType="solid">
        <fgColor theme="3" tint="0.749992370372631"/>
        <bgColor rgb="FF0066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/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6" fillId="0" borderId="0" xfId="0" applyFont="1"/>
    <xf numFmtId="0" fontId="8" fillId="0" borderId="0" xfId="0" applyFont="1"/>
    <xf numFmtId="14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165" fontId="4" fillId="4" borderId="1" xfId="0" applyNumberFormat="1" applyFont="1" applyFill="1" applyBorder="1" applyAlignment="1">
      <alignment horizontal="right"/>
    </xf>
    <xf numFmtId="14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right"/>
    </xf>
    <xf numFmtId="164" fontId="10" fillId="5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0" fontId="11" fillId="0" borderId="0" xfId="0" applyFont="1"/>
    <xf numFmtId="0" fontId="4" fillId="4" borderId="1" xfId="0" applyFont="1" applyFill="1" applyBorder="1"/>
    <xf numFmtId="166" fontId="4" fillId="4" borderId="1" xfId="0" applyNumberFormat="1" applyFont="1" applyFill="1" applyBorder="1"/>
    <xf numFmtId="166" fontId="4" fillId="5" borderId="1" xfId="0" applyNumberFormat="1" applyFont="1" applyFill="1" applyBorder="1"/>
    <xf numFmtId="0" fontId="12" fillId="4" borderId="1" xfId="0" applyFont="1" applyFill="1" applyBorder="1"/>
    <xf numFmtId="166" fontId="12" fillId="4" borderId="1" xfId="0" applyNumberFormat="1" applyFont="1" applyFill="1" applyBorder="1"/>
    <xf numFmtId="0" fontId="12" fillId="5" borderId="1" xfId="0" applyFont="1" applyFill="1" applyBorder="1"/>
    <xf numFmtId="166" fontId="12" fillId="5" borderId="1" xfId="0" applyNumberFormat="1" applyFont="1" applyFill="1" applyBorder="1"/>
    <xf numFmtId="0" fontId="15" fillId="0" borderId="0" xfId="0" applyFont="1"/>
    <xf numFmtId="10" fontId="5" fillId="2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/>
    <xf numFmtId="167" fontId="4" fillId="5" borderId="1" xfId="0" applyNumberFormat="1" applyFont="1" applyFill="1" applyBorder="1"/>
    <xf numFmtId="167" fontId="12" fillId="4" borderId="1" xfId="0" applyNumberFormat="1" applyFont="1" applyFill="1" applyBorder="1"/>
    <xf numFmtId="167" fontId="12" fillId="5" borderId="1" xfId="0" applyNumberFormat="1" applyFont="1" applyFill="1" applyBorder="1"/>
    <xf numFmtId="0" fontId="16" fillId="5" borderId="1" xfId="0" applyFont="1" applyFill="1" applyBorder="1"/>
    <xf numFmtId="0" fontId="9" fillId="7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9" fillId="8" borderId="4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6" fillId="4" borderId="1" xfId="0" applyFont="1" applyFill="1" applyBorder="1"/>
    <xf numFmtId="4" fontId="0" fillId="0" borderId="0" xfId="0" applyNumberFormat="1"/>
    <xf numFmtId="0" fontId="14" fillId="9" borderId="0" xfId="0" applyFont="1" applyFill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1" fillId="11" borderId="0" xfId="0" applyFont="1" applyFill="1" applyAlignment="1">
      <alignment horizontal="center"/>
    </xf>
    <xf numFmtId="164" fontId="22" fillId="12" borderId="3" xfId="0" applyNumberFormat="1" applyFont="1" applyFill="1" applyBorder="1" applyAlignment="1">
      <alignment horizontal="center"/>
    </xf>
    <xf numFmtId="164" fontId="22" fillId="12" borderId="3" xfId="0" applyNumberFormat="1" applyFont="1" applyFill="1" applyBorder="1" applyAlignment="1">
      <alignment horizontal="right"/>
    </xf>
    <xf numFmtId="165" fontId="22" fillId="12" borderId="3" xfId="0" applyNumberFormat="1" applyFont="1" applyFill="1" applyBorder="1" applyAlignment="1">
      <alignment horizontal="right"/>
    </xf>
    <xf numFmtId="164" fontId="23" fillId="2" borderId="1" xfId="0" applyNumberFormat="1" applyFont="1" applyFill="1" applyBorder="1" applyAlignment="1">
      <alignment horizontal="right"/>
    </xf>
    <xf numFmtId="168" fontId="13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25" fillId="0" borderId="0" xfId="0" applyFont="1"/>
    <xf numFmtId="0" fontId="17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164" fontId="26" fillId="3" borderId="2" xfId="0" applyNumberFormat="1" applyFont="1" applyFill="1" applyBorder="1" applyAlignment="1">
      <alignment horizontal="center" vertical="center"/>
    </xf>
    <xf numFmtId="0" fontId="24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B8B8B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864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strike="noStrike" spc="-1">
                <a:solidFill>
                  <a:srgbClr val="000000"/>
                </a:solidFill>
                <a:latin typeface="Aptos Narrow"/>
              </a:rPr>
              <a:t>Composição do Faturamento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366946487061021"/>
          <c:y val="0.19673788471866194"/>
          <c:w val="0.66919554890349453"/>
          <c:h val="0.75169869541225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'Recebimento e Reserva'!$B$23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1F386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'Recebimento e Reserva'!$A$24:$A$28</c:f>
              <c:strCache>
                <c:ptCount val="5"/>
                <c:pt idx="0">
                  <c:v>Valor Bruto da NF</c:v>
                </c:pt>
                <c:pt idx="1">
                  <c:v>(−) Retenções e Tributos</c:v>
                </c:pt>
                <c:pt idx="2">
                  <c:v>Faturamento Líquido</c:v>
                </c:pt>
                <c:pt idx="3">
                  <c:v>(−) Já Adiantado</c:v>
                </c:pt>
                <c:pt idx="4">
                  <c:v>Saldo a Receber</c:v>
                </c:pt>
              </c:strCache>
            </c:strRef>
          </c:cat>
          <c:val>
            <c:numRef>
              <c:f>'Recebimento e Reserva'!$B$24:$B$28</c:f>
              <c:numCache>
                <c:formatCode>"R$ "#,##0;"(R$ "#,##0\);\-</c:formatCode>
                <c:ptCount val="5"/>
                <c:pt idx="0">
                  <c:v>12160667.52</c:v>
                </c:pt>
                <c:pt idx="1">
                  <c:v>833005.71999999881</c:v>
                </c:pt>
                <c:pt idx="2">
                  <c:v>11327661.800000001</c:v>
                </c:pt>
                <c:pt idx="3">
                  <c:v>2432183.5</c:v>
                </c:pt>
                <c:pt idx="4">
                  <c:v>8895478.3000000007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E-418D-B3D2-C26845A1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37917"/>
        <c:axId val="90631916"/>
      </c:barChart>
      <c:catAx>
        <c:axId val="3653791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90631916"/>
        <c:crosses val="autoZero"/>
        <c:auto val="1"/>
        <c:lblAlgn val="ctr"/>
        <c:lblOffset val="100"/>
        <c:noMultiLvlLbl val="0"/>
      </c:catAx>
      <c:valAx>
        <c:axId val="90631916"/>
        <c:scaling>
          <c:orientation val="minMax"/>
        </c:scaling>
        <c:delete val="1"/>
        <c:axPos val="t"/>
        <c:numFmt formatCode="&quot;R$ &quot;#,##0;&quot;(R$ &quot;#,##0\);\-" sourceLinked="1"/>
        <c:majorTickMark val="none"/>
        <c:minorTickMark val="none"/>
        <c:tickLblPos val="nextTo"/>
        <c:crossAx val="365379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1">
          <a:lumMod val="50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828674</xdr:colOff>
      <xdr:row>20</xdr:row>
      <xdr:rowOff>133350</xdr:rowOff>
    </xdr:from>
    <xdr:to>
      <xdr:col>7</xdr:col>
      <xdr:colOff>590549</xdr:colOff>
      <xdr:row>29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66674</xdr:colOff>
      <xdr:row>0</xdr:row>
      <xdr:rowOff>76200</xdr:rowOff>
    </xdr:from>
    <xdr:to>
      <xdr:col>0</xdr:col>
      <xdr:colOff>1476375</xdr:colOff>
      <xdr:row>3</xdr:row>
      <xdr:rowOff>145414</xdr:rowOff>
    </xdr:to>
    <xdr:pic>
      <xdr:nvPicPr>
        <xdr:cNvPr id="3" name="/xl/media/image.png">
          <a:extLst>
            <a:ext uri="{FF2B5EF4-FFF2-40B4-BE49-F238E27FC236}">
              <a16:creationId xmlns:a16="http://schemas.microsoft.com/office/drawing/2014/main" id="{457B112E-0D1C-4328-9AD4-A65EDCB9C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76200"/>
          <a:ext cx="1409701" cy="640714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zoomScaleNormal="100" workbookViewId="0">
      <selection activeCell="C26" sqref="C26"/>
    </sheetView>
  </sheetViews>
  <sheetFormatPr defaultColWidth="8.5703125" defaultRowHeight="15" x14ac:dyDescent="0.25"/>
  <cols>
    <col min="1" max="1" width="10.28515625" customWidth="1"/>
    <col min="2" max="2" width="28.28515625" bestFit="1" customWidth="1"/>
    <col min="3" max="3" width="19.7109375" bestFit="1" customWidth="1"/>
    <col min="4" max="4" width="11.85546875" bestFit="1" customWidth="1"/>
    <col min="5" max="5" width="15.85546875" bestFit="1" customWidth="1"/>
    <col min="6" max="6" width="24.42578125" bestFit="1" customWidth="1"/>
    <col min="7" max="7" width="14.5703125" bestFit="1" customWidth="1"/>
    <col min="8" max="8" width="13.140625" bestFit="1" customWidth="1"/>
    <col min="9" max="9" width="17.42578125" bestFit="1" customWidth="1"/>
    <col min="10" max="10" width="12" bestFit="1" customWidth="1"/>
    <col min="11" max="11" width="25.28515625" bestFit="1" customWidth="1"/>
    <col min="12" max="12" width="21.7109375" bestFit="1" customWidth="1"/>
    <col min="13" max="13" width="17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9">
        <v>46295</v>
      </c>
      <c r="B2" s="2">
        <v>4864267</v>
      </c>
      <c r="C2" s="2">
        <v>7296400.5199999996</v>
      </c>
      <c r="D2" s="3">
        <v>0.05</v>
      </c>
      <c r="E2" s="2">
        <v>364820.03</v>
      </c>
      <c r="F2" s="4">
        <v>0</v>
      </c>
      <c r="G2" s="2">
        <v>468185.69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2">
        <v>11327661.800000001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5:H45"/>
  <sheetViews>
    <sheetView showGridLines="0" tabSelected="1" zoomScaleNormal="100" workbookViewId="0">
      <selection activeCell="A32" sqref="A32:H32"/>
    </sheetView>
  </sheetViews>
  <sheetFormatPr defaultColWidth="8.5703125" defaultRowHeight="15" x14ac:dyDescent="0.25"/>
  <cols>
    <col min="1" max="1" width="26" customWidth="1"/>
    <col min="2" max="3" width="22" customWidth="1"/>
    <col min="4" max="4" width="24" customWidth="1"/>
    <col min="5" max="7" width="22" customWidth="1"/>
    <col min="8" max="8" width="18" customWidth="1"/>
  </cols>
  <sheetData>
    <row r="5" spans="1:8" ht="23.25" x14ac:dyDescent="0.25">
      <c r="A5" s="54" t="s">
        <v>47</v>
      </c>
      <c r="B5" s="55"/>
      <c r="C5" s="55"/>
      <c r="D5" s="55"/>
      <c r="E5" s="55"/>
      <c r="F5" s="55"/>
      <c r="G5" s="55"/>
      <c r="H5" s="55"/>
    </row>
    <row r="6" spans="1:8" ht="15.75" x14ac:dyDescent="0.25">
      <c r="A6" s="40" t="s">
        <v>46</v>
      </c>
      <c r="B6" s="42" t="s">
        <v>45</v>
      </c>
    </row>
    <row r="7" spans="1:8" ht="15.75" x14ac:dyDescent="0.25">
      <c r="A7" s="41" t="s">
        <v>48</v>
      </c>
      <c r="B7" s="48">
        <f>Faturamento!A2</f>
        <v>46295</v>
      </c>
    </row>
    <row r="8" spans="1:8" ht="2.1" customHeight="1" x14ac:dyDescent="0.25"/>
    <row r="9" spans="1:8" ht="15.75" x14ac:dyDescent="0.25">
      <c r="A9" s="5"/>
      <c r="B9" s="24" t="str">
        <f>"Apuração do Fundo de Reserva (" &amp; TEXT(E9,"##%") &amp;  " / Faturamento Líquido)"</f>
        <v>Apuração do Fundo de Reserva (1% / Faturamento Líquido)</v>
      </c>
      <c r="C9" s="5"/>
      <c r="D9" s="5"/>
      <c r="E9" s="25">
        <v>0.01</v>
      </c>
      <c r="F9" s="6"/>
    </row>
    <row r="10" spans="1:8" ht="2.1" customHeight="1" x14ac:dyDescent="0.25"/>
    <row r="11" spans="1:8" x14ac:dyDescent="0.25">
      <c r="A11" s="56" t="s">
        <v>13</v>
      </c>
      <c r="B11" s="56"/>
      <c r="C11" s="56" t="s">
        <v>27</v>
      </c>
      <c r="D11" s="56"/>
      <c r="E11" s="56" t="s">
        <v>14</v>
      </c>
      <c r="F11" s="56"/>
      <c r="G11" s="57" t="s">
        <v>15</v>
      </c>
      <c r="H11" s="57"/>
    </row>
    <row r="12" spans="1:8" s="50" customFormat="1" ht="13.5" x14ac:dyDescent="0.25">
      <c r="A12" s="53">
        <f>D20</f>
        <v>11327661.800000001</v>
      </c>
      <c r="B12" s="53"/>
      <c r="C12" s="53">
        <f>E20</f>
        <v>2432183.5</v>
      </c>
      <c r="D12" s="53"/>
      <c r="E12" s="53">
        <f>F20</f>
        <v>8895478.3000000007</v>
      </c>
      <c r="F12" s="53"/>
      <c r="G12" s="53">
        <f>G20</f>
        <v>113276.61800000002</v>
      </c>
      <c r="H12" s="53"/>
    </row>
    <row r="13" spans="1:8" s="50" customFormat="1" ht="13.5" x14ac:dyDescent="0.25">
      <c r="A13" s="53"/>
      <c r="B13" s="53"/>
      <c r="C13" s="53"/>
      <c r="D13" s="53"/>
      <c r="E13" s="53"/>
      <c r="F13" s="53"/>
      <c r="G13" s="53"/>
      <c r="H13" s="53"/>
    </row>
    <row r="14" spans="1:8" ht="2.1" customHeight="1" x14ac:dyDescent="0.25"/>
    <row r="15" spans="1:8" ht="15.75" x14ac:dyDescent="0.25">
      <c r="A15" s="7" t="s">
        <v>16</v>
      </c>
    </row>
    <row r="16" spans="1:8" ht="2.1" customHeight="1" x14ac:dyDescent="0.25"/>
    <row r="17" spans="1:8" ht="43.5" customHeight="1" x14ac:dyDescent="0.25">
      <c r="A17" s="31" t="s">
        <v>17</v>
      </c>
      <c r="B17" s="31" t="s">
        <v>22</v>
      </c>
      <c r="C17" s="31" t="s">
        <v>23</v>
      </c>
      <c r="D17" s="31" t="s">
        <v>31</v>
      </c>
      <c r="E17" s="31" t="s">
        <v>28</v>
      </c>
      <c r="F17" s="31" t="s">
        <v>29</v>
      </c>
      <c r="G17" s="31" t="s">
        <v>26</v>
      </c>
      <c r="H17" s="31" t="s">
        <v>30</v>
      </c>
    </row>
    <row r="18" spans="1:8" x14ac:dyDescent="0.25">
      <c r="A18" s="8">
        <f>IF(Faturamento!A2="","",Faturamento!A2)</f>
        <v>46295</v>
      </c>
      <c r="B18" s="9">
        <f>IF($A18="","",Faturamento!B2+Faturamento!C2)</f>
        <v>12160667.52</v>
      </c>
      <c r="C18" s="9">
        <f>IF($A18="","",B18-D18)</f>
        <v>833005.71999999881</v>
      </c>
      <c r="D18" s="9">
        <f>IF($A18="","",Faturamento!M2)</f>
        <v>11327661.800000001</v>
      </c>
      <c r="E18" s="47">
        <v>2432183.5</v>
      </c>
      <c r="F18" s="9">
        <f>IF($A18="","",D18-E18)</f>
        <v>8895478.3000000007</v>
      </c>
      <c r="G18" s="10">
        <f>IF($A18="","",D18*$E$9)</f>
        <v>113276.61800000002</v>
      </c>
      <c r="H18" s="11">
        <f>IF($A18="","",IF(B18=0,0,C18/B18))</f>
        <v>6.8499999578970391E-2</v>
      </c>
    </row>
    <row r="19" spans="1:8" ht="15.75" thickBot="1" x14ac:dyDescent="0.3">
      <c r="A19" s="12" t="str">
        <f>IF(Faturamento!A13="","",Faturamento!A13)</f>
        <v/>
      </c>
      <c r="B19" s="13" t="str">
        <f>IF($A19="","",Faturamento!B13+Faturamento!C13)</f>
        <v/>
      </c>
      <c r="C19" s="13" t="str">
        <f>IF($A19="","",B19-D19)</f>
        <v/>
      </c>
      <c r="D19" s="13" t="str">
        <f>IF($A19="","",Faturamento!M13)</f>
        <v/>
      </c>
      <c r="E19" s="12"/>
      <c r="F19" s="13" t="str">
        <f>IF($A19="","",D19-E19)</f>
        <v/>
      </c>
      <c r="G19" s="14" t="str">
        <f>IF($A19="","",D19*$E$9)</f>
        <v/>
      </c>
      <c r="H19" s="15" t="str">
        <f>IF($A19="","",IF(B19=0,0,C19/B19))</f>
        <v/>
      </c>
    </row>
    <row r="20" spans="1:8" ht="15" customHeight="1" thickBot="1" x14ac:dyDescent="0.3">
      <c r="A20" s="44" t="s">
        <v>18</v>
      </c>
      <c r="B20" s="45">
        <f t="shared" ref="B20:G20" si="0">SUM(B18:B19)</f>
        <v>12160667.52</v>
      </c>
      <c r="C20" s="45">
        <f t="shared" si="0"/>
        <v>833005.71999999881</v>
      </c>
      <c r="D20" s="45">
        <f t="shared" si="0"/>
        <v>11327661.800000001</v>
      </c>
      <c r="E20" s="45">
        <f t="shared" si="0"/>
        <v>2432183.5</v>
      </c>
      <c r="F20" s="45">
        <f t="shared" si="0"/>
        <v>8895478.3000000007</v>
      </c>
      <c r="G20" s="45">
        <f t="shared" si="0"/>
        <v>113276.61800000002</v>
      </c>
      <c r="H20" s="46">
        <f>IF(B20=0,0,C20/B20)</f>
        <v>6.8499999578970391E-2</v>
      </c>
    </row>
    <row r="21" spans="1:8" x14ac:dyDescent="0.25">
      <c r="A21" s="16"/>
      <c r="B21" s="6"/>
    </row>
    <row r="22" spans="1:8" x14ac:dyDescent="0.25">
      <c r="A22" s="51" t="s">
        <v>33</v>
      </c>
      <c r="B22" s="51"/>
      <c r="C22" s="51"/>
    </row>
    <row r="23" spans="1:8" x14ac:dyDescent="0.25">
      <c r="A23" s="43" t="s">
        <v>19</v>
      </c>
      <c r="B23" s="43" t="s">
        <v>20</v>
      </c>
      <c r="C23" s="43" t="s">
        <v>21</v>
      </c>
    </row>
    <row r="24" spans="1:8" x14ac:dyDescent="0.25">
      <c r="A24" s="38" t="s">
        <v>44</v>
      </c>
      <c r="B24" s="26">
        <f>B20</f>
        <v>12160667.52</v>
      </c>
      <c r="C24" s="18">
        <f t="shared" ref="C24:C29" si="1">IF($B$24=0,0,B24/$B$24)</f>
        <v>1</v>
      </c>
    </row>
    <row r="25" spans="1:8" x14ac:dyDescent="0.25">
      <c r="A25" s="30" t="s">
        <v>23</v>
      </c>
      <c r="B25" s="27">
        <f>C20</f>
        <v>833005.71999999881</v>
      </c>
      <c r="C25" s="19">
        <f t="shared" si="1"/>
        <v>6.8499999578970391E-2</v>
      </c>
    </row>
    <row r="26" spans="1:8" x14ac:dyDescent="0.25">
      <c r="A26" s="20" t="s">
        <v>24</v>
      </c>
      <c r="B26" s="28">
        <f>B24-B25</f>
        <v>11327661.800000001</v>
      </c>
      <c r="C26" s="21">
        <f t="shared" si="1"/>
        <v>0.93150000042102965</v>
      </c>
    </row>
    <row r="27" spans="1:8" x14ac:dyDescent="0.25">
      <c r="A27" s="30" t="s">
        <v>32</v>
      </c>
      <c r="B27" s="27">
        <f>E20</f>
        <v>2432183.5</v>
      </c>
      <c r="C27" s="19">
        <f t="shared" si="1"/>
        <v>0.20000411128746987</v>
      </c>
      <c r="D27" s="39"/>
    </row>
    <row r="28" spans="1:8" x14ac:dyDescent="0.25">
      <c r="A28" s="17" t="s">
        <v>25</v>
      </c>
      <c r="B28" s="26">
        <f>F20</f>
        <v>8895478.3000000007</v>
      </c>
      <c r="C28" s="18">
        <f t="shared" si="1"/>
        <v>0.73149588913355978</v>
      </c>
    </row>
    <row r="29" spans="1:8" x14ac:dyDescent="0.25">
      <c r="A29" s="22" t="s">
        <v>26</v>
      </c>
      <c r="B29" s="29">
        <f>B26*E9</f>
        <v>113276.61800000002</v>
      </c>
      <c r="C29" s="23">
        <f t="shared" si="1"/>
        <v>9.3150000042102974E-3</v>
      </c>
    </row>
    <row r="32" spans="1:8" x14ac:dyDescent="0.25">
      <c r="A32" s="52" t="s">
        <v>34</v>
      </c>
      <c r="B32" s="52"/>
      <c r="C32" s="52"/>
      <c r="D32" s="52"/>
      <c r="E32" s="52"/>
      <c r="F32" s="52"/>
      <c r="G32" s="52"/>
      <c r="H32" s="52"/>
    </row>
    <row r="33" spans="1:5" x14ac:dyDescent="0.25">
      <c r="A33" s="32" t="s">
        <v>35</v>
      </c>
      <c r="B33" s="32"/>
      <c r="C33" s="32"/>
      <c r="D33" s="33" t="s">
        <v>36</v>
      </c>
      <c r="E33" s="32"/>
    </row>
    <row r="34" spans="1:5" x14ac:dyDescent="0.25">
      <c r="A34" s="34" t="s">
        <v>37</v>
      </c>
      <c r="B34" s="34"/>
      <c r="C34" s="34"/>
      <c r="D34" s="35" t="s">
        <v>38</v>
      </c>
      <c r="E34" s="34"/>
    </row>
    <row r="35" spans="1:5" x14ac:dyDescent="0.25">
      <c r="A35" s="34" t="s">
        <v>39</v>
      </c>
      <c r="B35" s="36"/>
      <c r="C35" s="37"/>
      <c r="D35" s="34" t="s">
        <v>39</v>
      </c>
      <c r="E35" s="36"/>
    </row>
    <row r="37" spans="1:5" x14ac:dyDescent="0.25">
      <c r="A37" s="33" t="s">
        <v>40</v>
      </c>
      <c r="B37" s="32"/>
      <c r="C37" s="32"/>
    </row>
    <row r="38" spans="1:5" x14ac:dyDescent="0.25">
      <c r="A38" s="34" t="s">
        <v>41</v>
      </c>
      <c r="B38" s="34"/>
      <c r="C38" s="34"/>
    </row>
    <row r="39" spans="1:5" x14ac:dyDescent="0.25">
      <c r="A39" s="34" t="s">
        <v>39</v>
      </c>
      <c r="B39" s="36"/>
      <c r="C39" s="37"/>
    </row>
    <row r="41" spans="1:5" x14ac:dyDescent="0.25">
      <c r="A41" s="34" t="s">
        <v>42</v>
      </c>
      <c r="B41" s="34"/>
      <c r="C41" s="34"/>
    </row>
    <row r="42" spans="1:5" x14ac:dyDescent="0.25">
      <c r="A42" s="34" t="s">
        <v>39</v>
      </c>
      <c r="B42" s="36"/>
      <c r="C42" s="37"/>
    </row>
    <row r="44" spans="1:5" x14ac:dyDescent="0.25">
      <c r="A44" s="34" t="s">
        <v>43</v>
      </c>
      <c r="B44" s="34"/>
      <c r="C44" s="34"/>
    </row>
    <row r="45" spans="1:5" x14ac:dyDescent="0.25">
      <c r="A45" s="34" t="s">
        <v>39</v>
      </c>
      <c r="B45" s="36"/>
      <c r="C45" s="37"/>
    </row>
  </sheetData>
  <mergeCells count="11">
    <mergeCell ref="A5:H5"/>
    <mergeCell ref="A11:B11"/>
    <mergeCell ref="C11:D11"/>
    <mergeCell ref="E11:F11"/>
    <mergeCell ref="G11:H11"/>
    <mergeCell ref="A22:C22"/>
    <mergeCell ref="A32:H32"/>
    <mergeCell ref="A12:B13"/>
    <mergeCell ref="C12:D13"/>
    <mergeCell ref="E12:F13"/>
    <mergeCell ref="G12:H13"/>
  </mergeCells>
  <dataValidations disablePrompts="1" count="1">
    <dataValidation type="decimal" operator="greaterThanOrEqual" allowBlank="1" errorTitle="Valor inválido" error="Informe um valor numérico maior ou igual a zero." sqref="E18:E19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scale="68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Faturamento</vt:lpstr>
      <vt:lpstr>Recebimento e Reserva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Flabones De Oliveira Silva</dc:creator>
  <dc:description/>
  <cp:lastModifiedBy>Bem vindo</cp:lastModifiedBy>
  <cp:revision>1</cp:revision>
  <cp:lastPrinted>2026-10-04T21:56:31Z</cp:lastPrinted>
  <dcterms:created xsi:type="dcterms:W3CDTF">2026-10-04T12:17:36Z</dcterms:created>
  <dcterms:modified xsi:type="dcterms:W3CDTF">2026-10-04T21:58:48Z</dcterms:modified>
  <dc:language>en-US</dc:language>
</cp:coreProperties>
</file>